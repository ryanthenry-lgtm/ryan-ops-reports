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tup" sheetId="1" state="visible" r:id="rId3"/>
    <sheet name="Mon" sheetId="2" state="visible" r:id="rId4"/>
    <sheet name="Tue" sheetId="3" state="visible" r:id="rId5"/>
    <sheet name="Wed" sheetId="4" state="visible" r:id="rId6"/>
    <sheet name="Thu" sheetId="5" state="visible" r:id="rId7"/>
    <sheet name="Fri" sheetId="6" state="visible" r:id="rId8"/>
    <sheet name="Sat" sheetId="7" state="visible" r:id="rId9"/>
    <sheet name="Sun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<sst xmlns="http://schemas.openxmlformats.org/spreadsheetml/2006/main" count="762" uniqueCount="108">
  <si>
    <t xml:space="preserve">Sophie — Weekly Tip-Out Tool</t>
  </si>
  <si>
    <t xml:space="preserve">Week Starting (Monday)</t>
  </si>
  <si>
    <t xml:space="preserve">Server → Bar (% of server svc)</t>
  </si>
  <si>
    <t xml:space="preserve">Server → Support (% of server svc)</t>
  </si>
  <si>
    <t xml:space="preserve">Upstairs Bart → Support (% of bar svc)</t>
  </si>
  <si>
    <t xml:space="preserve">Server &amp; Up-Bart → Support (% of TIPS)</t>
  </si>
  <si>
    <t xml:space="preserve">Tipped cash wage ($/hr)</t>
  </si>
  <si>
    <t xml:space="preserve">Min wage floor ($/hr)</t>
  </si>
  <si>
    <t xml:space="preserve">← min wage (wage-check reference)</t>
  </si>
  <si>
    <t xml:space="preserve">• Auto-filled from Toast by JOB TITLE — EVERY server, bartender, and support person who clocked in is pulled in automatically. New hires appear with no list to maintain.</t>
  </si>
  <si>
    <t xml:space="preserve">• Bartender venue (upstairs vs downstairs): (1) where they rang their own sales that night (Toast revenue center 'Bar' = downstairs), then (2) the only bar open that night, then (3) their home roster, then (4) default upstairs. So a bartender is put where they actually worked that night; the home roster is just the fallback for shifts where they only clocked hours. ORANGE name cells = auto-placed and unconfirmed — verify U vs D. Tell us a regular's home bar and we add them to the roster.</t>
  </si>
  <si>
    <t xml:space="preserve">• MISSING SOMEONE? That should be rare now — but yellow rows still let the manager add anyone who never clocked in (used the shared bar login). Enter name + hours and the day's pool re-splits for everyone; then type the same name into a yellow row on the Summary tab so it rolls up for the week.</t>
  </si>
  <si>
    <t xml:space="preserve">• Servers &amp; UPSTAIRS bartenders tip 5% of their TIPS to support (they keep 95% of tips). DOWNSTAIRS bartenders do NOT tip out tips — instead they tip 5% of downstairs NET SALES to support and keep 100% of their service charge + tips. Service-charge tip-outs unchanged (15% server→bar, 12% server→support, 12% upstairs-bar→support).</t>
  </si>
  <si>
    <t xml:space="preserve">• Support pool = upstairs (12% of service charges + 5% of tips) + downstairs (5% of net sales), split so SA/barbacks/runner get the same $/hr each day.</t>
  </si>
  <si>
    <t xml:space="preserve">• Anthony Aleman (manager) — SPECIAL DEAL: on any shift where he has a service charge or tips, he keeps 100% of his own service charge + tips and tips out to NO ONE (no bar, no support). He shows on the 'Mgr (keeps own)' line under the servers; his sales do NOT feed the bar or support pools.</t>
  </si>
  <si>
    <t xml:space="preserve">• Every auto cell is editable — override anything that looks off.</t>
  </si>
  <si>
    <t xml:space="preserve">Day</t>
  </si>
  <si>
    <t xml:space="preserve">Monday</t>
  </si>
  <si>
    <t xml:space="preserve">Date</t>
  </si>
  <si>
    <t xml:space="preserve">⚠ DOWNSTAIRS-ONLY NIGHT — upstairs was closed. The downstairs sales &amp; tip-out below are for this night (manager: enter the downstairs bartenders + hours).</t>
  </si>
  <si>
    <t xml:space="preserve">DAILY →</t>
  </si>
  <si>
    <t xml:space="preserve">Upstairs NET sales</t>
  </si>
  <si>
    <t xml:space="preserve">Downstairs NET sales</t>
  </si>
  <si>
    <t xml:space="preserve">Upstairs pool</t>
  </si>
  <si>
    <t xml:space="preserve">Downstairs pool</t>
  </si>
  <si>
    <t xml:space="preserve">Support pool</t>
  </si>
  <si>
    <t xml:space="preserve">Support $/hr</t>
  </si>
  <si>
    <t xml:space="preserve">SECTION 1 — UPSTAIRS</t>
  </si>
  <si>
    <t xml:space="preserve">Servers (auto from Toast — editable)</t>
  </si>
  <si>
    <t xml:space="preserve">#</t>
  </si>
  <si>
    <t xml:space="preserve">Name</t>
  </si>
  <si>
    <t xml:space="preserve">Role</t>
  </si>
  <si>
    <t xml:space="preserve">Hours</t>
  </si>
  <si>
    <t xml:space="preserve">Tips</t>
  </si>
  <si>
    <t xml:space="preserve">Svc Chg</t>
  </si>
  <si>
    <t xml:space="preserve">→ Bar 15%</t>
  </si>
  <si>
    <t xml:space="preserve">→ Sup 12% (svc)</t>
  </si>
  <si>
    <t xml:space="preserve">→ Sup 5% (tips)</t>
  </si>
  <si>
    <t xml:space="preserve">Take-Home</t>
  </si>
  <si>
    <t xml:space="preserve">Server</t>
  </si>
  <si>
    <t xml:space="preserve">TOTAL</t>
  </si>
  <si>
    <t xml:space="preserve">Manager (no tipped shift this day)</t>
  </si>
  <si>
    <t xml:space="preserve">Upstairs Bartenders</t>
  </si>
  <si>
    <t xml:space="preserve">(all auto-pulled from Toast; orange = verify U/D; yellow = add someone who didn't clock in)</t>
  </si>
  <si>
    <t xml:space="preserve">Bar svc (auto)</t>
  </si>
  <si>
    <t xml:space="preserve">Bar tips</t>
  </si>
  <si>
    <t xml:space="preserve">→Support 12% svc + 5% tips</t>
  </si>
  <si>
    <t xml:space="preserve">Pool→</t>
  </si>
  <si>
    <t xml:space="preserve">Avg $/hr</t>
  </si>
  <si>
    <t xml:space="preserve">Alexanda</t>
  </si>
  <si>
    <t xml:space="preserve">Bartender (U)</t>
  </si>
  <si>
    <t xml:space="preserve">izzy</t>
  </si>
  <si>
    <t xml:space="preserve">Bartender (U?)</t>
  </si>
  <si>
    <t xml:space="preserve">SECTION 2 — DOWNSTAIRS  (auto-pulled from Toast; orange = verify U/D; yellow = add an under-clocked bartender)</t>
  </si>
  <si>
    <t xml:space="preserve">tips</t>
  </si>
  <si>
    <t xml:space="preserve">→Support 5% of net sales</t>
  </si>
  <si>
    <t xml:space="preserve">Bartender (D)</t>
  </si>
  <si>
    <t xml:space="preserve">SECTION 3 — SUPPORT STAFF  (level-loaded: everyone same $/hr this day;  yellow rows = add missing staff)</t>
  </si>
  <si>
    <t xml:space="preserve">Support pool = 12% of all svc + 5% of all tips →</t>
  </si>
  <si>
    <t xml:space="preserve">$/hr today*</t>
  </si>
  <si>
    <t xml:space="preserve">* today's rate is a reference only — support is pooled across the whole week and paid at one level rate on the Summary tab.</t>
  </si>
  <si>
    <t xml:space="preserve">Tuesday</t>
  </si>
  <si>
    <t xml:space="preserve">Valentin, Dennys</t>
  </si>
  <si>
    <t xml:space="preserve">Kyle</t>
  </si>
  <si>
    <t xml:space="preserve">Ferrell, Sarah</t>
  </si>
  <si>
    <t xml:space="preserve">Valle, Dominik</t>
  </si>
  <si>
    <t xml:space="preserve">Barback</t>
  </si>
  <si>
    <t xml:space="preserve">Wednesday</t>
  </si>
  <si>
    <t xml:space="preserve">Miller, Jonte</t>
  </si>
  <si>
    <t xml:space="preserve">Hadad-Barriga, Allison</t>
  </si>
  <si>
    <t xml:space="preserve">Thursday</t>
  </si>
  <si>
    <t xml:space="preserve">white, jamie</t>
  </si>
  <si>
    <t xml:space="preserve">Friday</t>
  </si>
  <si>
    <t xml:space="preserve">Amaya Parada, Karen</t>
  </si>
  <si>
    <t xml:space="preserve">villatoro, iliana</t>
  </si>
  <si>
    <t xml:space="preserve">Mazariego , Sayda</t>
  </si>
  <si>
    <t xml:space="preserve">Wenzel, Hannah</t>
  </si>
  <si>
    <t xml:space="preserve">Hanna</t>
  </si>
  <si>
    <t xml:space="preserve">Manley, Henry</t>
  </si>
  <si>
    <t xml:space="preserve">Makhotkin, Daniel</t>
  </si>
  <si>
    <t xml:space="preserve">Utuy Sapon, Mario Bernardo</t>
  </si>
  <si>
    <t xml:space="preserve">Castro, Wilmer</t>
  </si>
  <si>
    <t xml:space="preserve">Alex</t>
  </si>
  <si>
    <t xml:space="preserve">Runner</t>
  </si>
  <si>
    <t xml:space="preserve">Victor</t>
  </si>
  <si>
    <t xml:space="preserve">Server Assistant</t>
  </si>
  <si>
    <t xml:space="preserve">Saturday</t>
  </si>
  <si>
    <t xml:space="preserve">Aleman, Anthony</t>
  </si>
  <si>
    <t xml:space="preserve">Mgr (keeps own)</t>
  </si>
  <si>
    <t xml:space="preserve">special deal — keeps 100%, tips out to no one</t>
  </si>
  <si>
    <t xml:space="preserve">Sunday</t>
  </si>
  <si>
    <t xml:space="preserve">WEEKLY SUMMARY — take-home by person (tips + service-charge distributions)</t>
  </si>
  <si>
    <t xml:space="preserve">Support pool (week)</t>
  </si>
  <si>
    <t xml:space="preserve">Week of</t>
  </si>
  <si>
    <t xml:space="preserve">Support hours (week)</t>
  </si>
  <si>
    <t xml:space="preserve">Support $/hr (level)</t>
  </si>
  <si>
    <t xml:space="preserve">Employee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</si>
  <si>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</si>
  <si>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</si>
  <si>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</si>
  <si>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</si>
  <si>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</si>
  <si>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</si>
  <si>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</si>
  <si>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 TAKE-HOME</t>
  </si>
  <si>
    <t xml:space="preserve">$/hr (incl base)</t>
  </si>
  <si>
    <t xml:space="preserve">Wage check</t>
  </si>
  <si>
    <t xml:space="preserve">↑ Yellow name cells = add a hand-entered employee (a bartender or support who didn't clock in but is entered on a day tab). Type their EXACT name as on the day tab; their pay pulls in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</si>
</sst>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\$#,##0.0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46300</v>
      </c>
    </row>
    <row r="5" customFormat="false" ht="15" hidden="false" customHeight="false" outlineLevel="0" collapsed="false">
      <c r="A5" s="0" t="s">
        <v>2</v>
      </c>
      <c r="B5" s="3" t="n">
        <v>0.15</v>
      </c>
    </row>
    <row r="6" customFormat="false" ht="15" hidden="false" customHeight="false" outlineLevel="0" collapsed="false">
      <c r="A6" s="0" t="s">
        <v>3</v>
      </c>
      <c r="B6" s="3" t="n">
        <v>0.12</v>
      </c>
    </row>
    <row r="7" customFormat="false" ht="15" hidden="false" customHeight="false" outlineLevel="0" collapsed="false">
      <c r="A7" s="0" t="s">
        <v>4</v>
      </c>
      <c r="B7" s="3" t="n">
        <v>0.12</v>
      </c>
    </row>
    <row r="8" customFormat="false" ht="15" hidden="false" customHeight="false" outlineLevel="0" collapsed="false">
      <c r="A8" s="0" t="s">
        <v>5</v>
      </c>
      <c r="B8" s="3" t="n">
        <v>0.05</v>
      </c>
    </row>
    <row r="9" customFormat="false" ht="15" hidden="false" customHeight="false" outlineLevel="0" collapsed="false">
      <c r="A9" s="0" t="s">
        <v>6</v>
      </c>
      <c r="B9" s="4" t="n">
        <v>2.13</v>
      </c>
    </row>
    <row r="10" customFormat="false" ht="15" hidden="false" customHeight="false" outlineLevel="0" collapsed="false">
      <c r="A10" s="0" t="s">
        <v>7</v>
      </c>
      <c r="B10" s="4" t="n">
        <v>7.25</v>
      </c>
      <c r="C10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5" t="s">
        <v>12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5" t="s">
        <v>14</v>
      </c>
    </row>
    <row r="18" customFormat="false" ht="15" hidden="false" customHeight="false" outlineLevel="0" collapsed="false">
      <c r="A18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17</v>
      </c>
      <c r="D1" s="6" t="s">
        <v>18</v>
      </c>
      <c r="E1" s="7" t="n">
        <v>46300</v>
      </c>
    </row>
    <row r="2" customFormat="false" ht="15" hidden="false" customHeight="false" outlineLevel="0" collapsed="false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0</v>
      </c>
      <c r="D4" s="9" t="n">
        <v>998.72</v>
      </c>
      <c r="F4" s="10" t="n">
        <f aca="false">K23</f>
        <v>0</v>
      </c>
      <c r="H4" s="10" t="n">
        <f aca="false">K40</f>
        <v>315.904</v>
      </c>
      <c r="J4" s="10" t="n">
        <f aca="false">E55</f>
        <v>49.936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C9" s="0" t="s">
        <v>39</v>
      </c>
      <c r="D9" s="13"/>
      <c r="E9" s="14"/>
      <c r="F9" s="14"/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0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0</v>
      </c>
      <c r="F23" s="5" t="s">
        <v>45</v>
      </c>
      <c r="G23" s="14" t="n">
        <v>0</v>
      </c>
      <c r="H23" s="5" t="s">
        <v>46</v>
      </c>
      <c r="I23" s="14" t="n">
        <f aca="false">0.12*E23+0.05*G23</f>
        <v>0</v>
      </c>
      <c r="J23" s="5" t="s">
        <v>47</v>
      </c>
      <c r="K23" s="14" t="n">
        <f aca="false">0.88*E23+0.15*F21+0.95*G23</f>
        <v>0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49</v>
      </c>
      <c r="C25" s="0" t="s">
        <v>50</v>
      </c>
      <c r="D25" s="13" t="n">
        <v>4.92</v>
      </c>
      <c r="L25" s="14" t="n">
        <f aca="false">IF(D25=0,"",2.13+M25/D25)</f>
        <v>2.13</v>
      </c>
      <c r="M25" s="14" t="n">
        <f aca="false">IF(SUM($D$25:$D$36)=0,0,$K$23*D25/SUM($D$25:$D$36))</f>
        <v>0</v>
      </c>
    </row>
    <row r="26" customFormat="false" ht="15" hidden="false" customHeight="false" outlineLevel="0" collapsed="false">
      <c r="A26" s="0" t="n">
        <v>2</v>
      </c>
      <c r="B26" s="17" t="s">
        <v>51</v>
      </c>
      <c r="C26" s="18" t="s">
        <v>52</v>
      </c>
      <c r="D26" s="13" t="n">
        <v>4.26</v>
      </c>
      <c r="L26" s="14" t="n">
        <f aca="false">IF(D26=0,"",2.13+M26/D26)</f>
        <v>2.13</v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9"/>
      <c r="C27" s="18" t="s">
        <v>50</v>
      </c>
      <c r="D27" s="20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9"/>
      <c r="C28" s="18" t="s">
        <v>50</v>
      </c>
      <c r="D28" s="20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9"/>
      <c r="C29" s="18" t="s">
        <v>50</v>
      </c>
      <c r="D29" s="20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9"/>
      <c r="C30" s="18" t="s">
        <v>50</v>
      </c>
      <c r="D30" s="20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9"/>
      <c r="C31" s="18" t="s">
        <v>50</v>
      </c>
      <c r="D31" s="20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9"/>
      <c r="C32" s="18" t="s">
        <v>50</v>
      </c>
      <c r="D32" s="20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9"/>
      <c r="C33" s="18" t="s">
        <v>50</v>
      </c>
      <c r="D33" s="20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9"/>
      <c r="C34" s="18" t="s">
        <v>50</v>
      </c>
      <c r="D34" s="20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9"/>
      <c r="C35" s="18" t="s">
        <v>50</v>
      </c>
      <c r="D35" s="20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9"/>
      <c r="C36" s="18" t="s">
        <v>50</v>
      </c>
      <c r="D36" s="20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9.18</v>
      </c>
      <c r="L37" s="16" t="n">
        <f aca="false">IF(D37=0,"",2.13+M37/D37)</f>
        <v>2.13</v>
      </c>
      <c r="M37" s="16" t="n">
        <f aca="false">SUM(M25:M36)</f>
        <v>0</v>
      </c>
    </row>
    <row r="39" customFormat="false" ht="15" hidden="false" customHeight="false" outlineLevel="0" collapsed="false">
      <c r="A39" s="11" t="s">
        <v>53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198.9</v>
      </c>
      <c r="F40" s="5" t="s">
        <v>54</v>
      </c>
      <c r="G40" s="14" t="n">
        <v>166.94</v>
      </c>
      <c r="H40" s="5" t="s">
        <v>55</v>
      </c>
      <c r="I40" s="14" t="n">
        <f aca="false">MIN(0.05*D4,E40+G40)</f>
        <v>49.936</v>
      </c>
      <c r="J40" s="5" t="s">
        <v>47</v>
      </c>
      <c r="K40" s="14" t="n">
        <f aca="false">E40+G40-I40</f>
        <v>315.904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9"/>
      <c r="C42" s="18" t="s">
        <v>56</v>
      </c>
      <c r="D42" s="20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9"/>
      <c r="C43" s="18" t="s">
        <v>56</v>
      </c>
      <c r="D43" s="20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9"/>
      <c r="C44" s="18" t="s">
        <v>56</v>
      </c>
      <c r="D44" s="20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9"/>
      <c r="C45" s="18" t="s">
        <v>56</v>
      </c>
      <c r="D45" s="20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9"/>
      <c r="C46" s="18" t="s">
        <v>56</v>
      </c>
      <c r="D46" s="20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9"/>
      <c r="C47" s="18" t="s">
        <v>56</v>
      </c>
      <c r="D47" s="20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9"/>
      <c r="C48" s="18" t="s">
        <v>56</v>
      </c>
      <c r="D48" s="20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9"/>
      <c r="C49" s="18" t="s">
        <v>56</v>
      </c>
      <c r="D49" s="20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9"/>
      <c r="C50" s="18" t="s">
        <v>56</v>
      </c>
      <c r="D50" s="20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9"/>
      <c r="C51" s="18" t="s">
        <v>56</v>
      </c>
      <c r="D51" s="20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49.936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19"/>
      <c r="C57" s="19"/>
      <c r="D57" s="20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9"/>
      <c r="C58" s="19"/>
      <c r="D58" s="20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9"/>
      <c r="C59" s="19"/>
      <c r="D59" s="20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9"/>
      <c r="C60" s="19"/>
      <c r="D60" s="20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9"/>
      <c r="C61" s="19"/>
      <c r="D61" s="20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9"/>
      <c r="C62" s="19"/>
      <c r="D62" s="20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9"/>
      <c r="C63" s="19"/>
      <c r="D63" s="20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9"/>
      <c r="C64" s="19"/>
      <c r="D64" s="20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9"/>
      <c r="C65" s="19"/>
      <c r="D65" s="20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9"/>
      <c r="C66" s="19"/>
      <c r="D66" s="20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4">
    <mergeCell ref="A2:M2"/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61</v>
      </c>
      <c r="D1" s="6" t="s">
        <v>18</v>
      </c>
      <c r="E1" s="7" t="n">
        <v>46301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233.54</v>
      </c>
      <c r="D4" s="9" t="n">
        <v>709.93</v>
      </c>
      <c r="F4" s="10" t="n">
        <f aca="false">K23</f>
        <v>17.122</v>
      </c>
      <c r="H4" s="10" t="n">
        <f aca="false">K40</f>
        <v>2982.5335</v>
      </c>
      <c r="J4" s="10" t="n">
        <f aca="false">E55</f>
        <v>47.2165</v>
      </c>
      <c r="L4" s="10" t="n">
        <f aca="false">IF(SUM(D57:D66)=0,0,2.13+E55/SUM(D57:D66))</f>
        <v>8.35088274044796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62</v>
      </c>
      <c r="C9" s="0" t="s">
        <v>39</v>
      </c>
      <c r="D9" s="13" t="n">
        <v>6.29</v>
      </c>
      <c r="E9" s="14" t="n">
        <v>35.2</v>
      </c>
      <c r="F9" s="14" t="n">
        <v>76.6</v>
      </c>
      <c r="G9" s="14" t="n">
        <f aca="false">0.15*F9</f>
        <v>11.49</v>
      </c>
      <c r="H9" s="14" t="n">
        <f aca="false">0.12*F9</f>
        <v>9.192</v>
      </c>
      <c r="I9" s="14" t="n">
        <f aca="false">0.05*E9</f>
        <v>1.76</v>
      </c>
      <c r="M9" s="14" t="n">
        <f aca="false">E9+F9-G9-H9-I9</f>
        <v>89.358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6.29</v>
      </c>
      <c r="E21" s="16" t="n">
        <f aca="false">SUM(E9:E20)</f>
        <v>35.2</v>
      </c>
      <c r="F21" s="16" t="n">
        <f aca="false">SUM(F9:F20)</f>
        <v>76.6</v>
      </c>
      <c r="G21" s="16" t="n">
        <f aca="false">SUM(G9:G20)</f>
        <v>11.49</v>
      </c>
      <c r="H21" s="16" t="n">
        <f aca="false">SUM(H9:H20)</f>
        <v>9.192</v>
      </c>
      <c r="I21" s="16" t="n">
        <f aca="false">SUM(I9:I20)</f>
        <v>1.76</v>
      </c>
      <c r="M21" s="16" t="n">
        <f aca="false">SUM(M9:M20)</f>
        <v>89.358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6.4</v>
      </c>
      <c r="F23" s="5" t="s">
        <v>45</v>
      </c>
      <c r="G23" s="14" t="n">
        <v>0</v>
      </c>
      <c r="H23" s="5" t="s">
        <v>46</v>
      </c>
      <c r="I23" s="14" t="n">
        <f aca="false">0.12*E23+0.05*G23</f>
        <v>0.768</v>
      </c>
      <c r="J23" s="5" t="s">
        <v>47</v>
      </c>
      <c r="K23" s="14" t="n">
        <f aca="false">0.88*E23+0.15*F21+0.95*G23</f>
        <v>17.122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17" t="s">
        <v>63</v>
      </c>
      <c r="C25" s="18" t="s">
        <v>52</v>
      </c>
      <c r="D25" s="13" t="n">
        <v>12.28</v>
      </c>
      <c r="L25" s="14" t="n">
        <f aca="false">IF(D25=0,"",2.13+M25/D25)</f>
        <v>3.5242996742671</v>
      </c>
      <c r="M25" s="14" t="n">
        <f aca="false">IF(SUM($D$25:$D$36)=0,0,$K$23*D25/SUM($D$25:$D$36))</f>
        <v>17.122</v>
      </c>
    </row>
    <row r="26" customFormat="false" ht="15" hidden="false" customHeight="false" outlineLevel="0" collapsed="false">
      <c r="A26" s="0" t="n">
        <v>2</v>
      </c>
      <c r="B26" s="19"/>
      <c r="C26" s="18" t="s">
        <v>50</v>
      </c>
      <c r="D26" s="20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9"/>
      <c r="C27" s="18" t="s">
        <v>50</v>
      </c>
      <c r="D27" s="20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9"/>
      <c r="C28" s="18" t="s">
        <v>50</v>
      </c>
      <c r="D28" s="20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9"/>
      <c r="C29" s="18" t="s">
        <v>50</v>
      </c>
      <c r="D29" s="20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9"/>
      <c r="C30" s="18" t="s">
        <v>50</v>
      </c>
      <c r="D30" s="20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9"/>
      <c r="C31" s="18" t="s">
        <v>50</v>
      </c>
      <c r="D31" s="20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9"/>
      <c r="C32" s="18" t="s">
        <v>50</v>
      </c>
      <c r="D32" s="20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9"/>
      <c r="C33" s="18" t="s">
        <v>50</v>
      </c>
      <c r="D33" s="20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9"/>
      <c r="C34" s="18" t="s">
        <v>50</v>
      </c>
      <c r="D34" s="20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9"/>
      <c r="C35" s="18" t="s">
        <v>50</v>
      </c>
      <c r="D35" s="20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9"/>
      <c r="C36" s="18" t="s">
        <v>50</v>
      </c>
      <c r="D36" s="20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12.28</v>
      </c>
      <c r="L37" s="16" t="n">
        <f aca="false">IF(D37=0,"",2.13+M37/D37)</f>
        <v>3.5242996742671</v>
      </c>
      <c r="M37" s="16" t="n">
        <f aca="false">SUM(M25:M36)</f>
        <v>17.122</v>
      </c>
    </row>
    <row r="39" customFormat="false" ht="15" hidden="false" customHeight="false" outlineLevel="0" collapsed="false">
      <c r="A39" s="11" t="s">
        <v>53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816.4</v>
      </c>
      <c r="F40" s="5" t="s">
        <v>54</v>
      </c>
      <c r="G40" s="14" t="n">
        <v>2201.63</v>
      </c>
      <c r="H40" s="5" t="s">
        <v>55</v>
      </c>
      <c r="I40" s="14" t="n">
        <f aca="false">MIN(0.05*D4,E40+G40)</f>
        <v>35.4965</v>
      </c>
      <c r="J40" s="5" t="s">
        <v>47</v>
      </c>
      <c r="K40" s="14" t="n">
        <f aca="false">E40+G40-I40</f>
        <v>2982.5335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64</v>
      </c>
      <c r="C42" s="0" t="s">
        <v>56</v>
      </c>
      <c r="D42" s="13" t="n">
        <v>7.15</v>
      </c>
      <c r="L42" s="14" t="n">
        <f aca="false">IF(D42=0,"",2.13+M42/D42)</f>
        <v>419.267552447552</v>
      </c>
      <c r="M42" s="14" t="n">
        <f aca="false">IF(SUM($D$42:$D$51)=0,0,$K$40*D42/SUM($D$42:$D$51))</f>
        <v>2982.5335</v>
      </c>
    </row>
    <row r="43" customFormat="false" ht="15" hidden="false" customHeight="false" outlineLevel="0" collapsed="false">
      <c r="A43" s="0" t="n">
        <v>2</v>
      </c>
      <c r="B43" s="19"/>
      <c r="C43" s="18" t="s">
        <v>56</v>
      </c>
      <c r="D43" s="20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9"/>
      <c r="C44" s="18" t="s">
        <v>56</v>
      </c>
      <c r="D44" s="20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9"/>
      <c r="C45" s="18" t="s">
        <v>56</v>
      </c>
      <c r="D45" s="20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9"/>
      <c r="C46" s="18" t="s">
        <v>56</v>
      </c>
      <c r="D46" s="20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9"/>
      <c r="C47" s="18" t="s">
        <v>56</v>
      </c>
      <c r="D47" s="20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9"/>
      <c r="C48" s="18" t="s">
        <v>56</v>
      </c>
      <c r="D48" s="20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9"/>
      <c r="C49" s="18" t="s">
        <v>56</v>
      </c>
      <c r="D49" s="20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9"/>
      <c r="C50" s="18" t="s">
        <v>56</v>
      </c>
      <c r="D50" s="20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9"/>
      <c r="C51" s="18" t="s">
        <v>56</v>
      </c>
      <c r="D51" s="20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7.15</v>
      </c>
      <c r="L52" s="16" t="n">
        <f aca="false">IF(D52=0,"",2.13+M52/D52)</f>
        <v>419.267552447552</v>
      </c>
      <c r="M52" s="16" t="n">
        <f aca="false">SUM(M42:M51)</f>
        <v>2982.5335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47.2165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65</v>
      </c>
      <c r="C57" s="0" t="s">
        <v>66</v>
      </c>
      <c r="D57" s="13" t="n">
        <v>7.59</v>
      </c>
      <c r="L57" s="14" t="n">
        <f aca="false">IF(OR(D57=0,SUM($D$57:$D$66)=0),"",2.13+$E$55/SUM($D$57:$D$66))</f>
        <v>8.35088274044796</v>
      </c>
    </row>
    <row r="58" customFormat="false" ht="15" hidden="false" customHeight="false" outlineLevel="0" collapsed="false">
      <c r="A58" s="0" t="n">
        <v>2</v>
      </c>
      <c r="B58" s="19"/>
      <c r="C58" s="19"/>
      <c r="D58" s="20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9"/>
      <c r="C59" s="19"/>
      <c r="D59" s="20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9"/>
      <c r="C60" s="19"/>
      <c r="D60" s="20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9"/>
      <c r="C61" s="19"/>
      <c r="D61" s="20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9"/>
      <c r="C62" s="19"/>
      <c r="D62" s="20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9"/>
      <c r="C63" s="19"/>
      <c r="D63" s="20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9"/>
      <c r="C64" s="19"/>
      <c r="D64" s="20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9"/>
      <c r="C65" s="19"/>
      <c r="D65" s="20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9"/>
      <c r="C66" s="19"/>
      <c r="D66" s="20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7.59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67</v>
      </c>
      <c r="D1" s="6" t="s">
        <v>18</v>
      </c>
      <c r="E1" s="7" t="n">
        <v>46302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496.46</v>
      </c>
      <c r="D4" s="9" t="n">
        <v>76.36</v>
      </c>
      <c r="F4" s="10" t="n">
        <f aca="false">K23</f>
        <v>44.661</v>
      </c>
      <c r="H4" s="10" t="n">
        <f aca="false">K40</f>
        <v>0</v>
      </c>
      <c r="J4" s="10" t="n">
        <f aca="false">E55</f>
        <v>16.1205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62</v>
      </c>
      <c r="C9" s="0" t="s">
        <v>39</v>
      </c>
      <c r="D9" s="13" t="n">
        <v>5.04</v>
      </c>
      <c r="E9" s="14" t="n">
        <v>41.71</v>
      </c>
      <c r="F9" s="14" t="n">
        <v>82.8</v>
      </c>
      <c r="G9" s="14" t="n">
        <f aca="false">0.15*F9</f>
        <v>12.42</v>
      </c>
      <c r="H9" s="14" t="n">
        <f aca="false">0.12*F9</f>
        <v>9.936</v>
      </c>
      <c r="I9" s="14" t="n">
        <f aca="false">0.05*E9</f>
        <v>2.0855</v>
      </c>
      <c r="M9" s="14" t="n">
        <f aca="false">E9+F9-G9-H9-I9</f>
        <v>100.0685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5.04</v>
      </c>
      <c r="E21" s="16" t="n">
        <f aca="false">SUM(E9:E20)</f>
        <v>41.71</v>
      </c>
      <c r="F21" s="16" t="n">
        <f aca="false">SUM(F9:F20)</f>
        <v>82.8</v>
      </c>
      <c r="G21" s="16" t="n">
        <f aca="false">SUM(G9:G20)</f>
        <v>12.42</v>
      </c>
      <c r="H21" s="16" t="n">
        <f aca="false">SUM(H9:H20)</f>
        <v>9.936</v>
      </c>
      <c r="I21" s="16" t="n">
        <f aca="false">SUM(I9:I20)</f>
        <v>2.0855</v>
      </c>
      <c r="M21" s="16" t="n">
        <f aca="false">SUM(M9:M20)</f>
        <v>100.0685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32.6</v>
      </c>
      <c r="F23" s="5" t="s">
        <v>45</v>
      </c>
      <c r="G23" s="14" t="n">
        <v>3.74</v>
      </c>
      <c r="H23" s="5" t="s">
        <v>46</v>
      </c>
      <c r="I23" s="14" t="n">
        <f aca="false">0.12*E23+0.05*G23</f>
        <v>4.099</v>
      </c>
      <c r="J23" s="5" t="s">
        <v>47</v>
      </c>
      <c r="K23" s="14" t="n">
        <f aca="false">0.88*E23+0.15*F21+0.95*G23</f>
        <v>44.661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68</v>
      </c>
      <c r="C25" s="0" t="s">
        <v>50</v>
      </c>
      <c r="D25" s="13" t="n">
        <v>4.67</v>
      </c>
      <c r="L25" s="14" t="n">
        <f aca="false">IF(D25=0,"",2.13+M25/D25)</f>
        <v>11.6933832976445</v>
      </c>
      <c r="M25" s="14" t="n">
        <f aca="false">IF(SUM($D$25:$D$36)=0,0,$K$23*D25/SUM($D$25:$D$36))</f>
        <v>44.661</v>
      </c>
    </row>
    <row r="26" customFormat="false" ht="15" hidden="false" customHeight="false" outlineLevel="0" collapsed="false">
      <c r="A26" s="0" t="n">
        <v>2</v>
      </c>
      <c r="B26" s="19"/>
      <c r="C26" s="18" t="s">
        <v>50</v>
      </c>
      <c r="D26" s="20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9"/>
      <c r="C27" s="18" t="s">
        <v>50</v>
      </c>
      <c r="D27" s="20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9"/>
      <c r="C28" s="18" t="s">
        <v>50</v>
      </c>
      <c r="D28" s="20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9"/>
      <c r="C29" s="18" t="s">
        <v>50</v>
      </c>
      <c r="D29" s="20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9"/>
      <c r="C30" s="18" t="s">
        <v>50</v>
      </c>
      <c r="D30" s="20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9"/>
      <c r="C31" s="18" t="s">
        <v>50</v>
      </c>
      <c r="D31" s="20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9"/>
      <c r="C32" s="18" t="s">
        <v>50</v>
      </c>
      <c r="D32" s="20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9"/>
      <c r="C33" s="18" t="s">
        <v>50</v>
      </c>
      <c r="D33" s="20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9"/>
      <c r="C34" s="18" t="s">
        <v>50</v>
      </c>
      <c r="D34" s="20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9"/>
      <c r="C35" s="18" t="s">
        <v>50</v>
      </c>
      <c r="D35" s="20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9"/>
      <c r="C36" s="18" t="s">
        <v>50</v>
      </c>
      <c r="D36" s="20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4.67</v>
      </c>
      <c r="L37" s="16" t="n">
        <f aca="false">IF(D37=0,"",2.13+M37/D37)</f>
        <v>11.6933832976445</v>
      </c>
      <c r="M37" s="16" t="n">
        <f aca="false">SUM(M25:M36)</f>
        <v>44.661</v>
      </c>
    </row>
    <row r="39" customFormat="false" ht="15" hidden="false" customHeight="false" outlineLevel="0" collapsed="false">
      <c r="A39" s="11" t="s">
        <v>53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0</v>
      </c>
      <c r="F40" s="5" t="s">
        <v>54</v>
      </c>
      <c r="G40" s="14" t="n">
        <v>0</v>
      </c>
      <c r="H40" s="5" t="s">
        <v>55</v>
      </c>
      <c r="I40" s="14" t="n">
        <f aca="false">MIN(0.05*D4,E40+G40)</f>
        <v>0</v>
      </c>
      <c r="J40" s="5" t="s">
        <v>47</v>
      </c>
      <c r="K40" s="14" t="n">
        <f aca="false">E40+G40-I40</f>
        <v>0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69</v>
      </c>
      <c r="C42" s="0" t="s">
        <v>56</v>
      </c>
      <c r="D42" s="13" t="n">
        <v>2.59</v>
      </c>
      <c r="L42" s="14" t="n">
        <f aca="false">IF(D42=0,"",2.13+M42/D42)</f>
        <v>2.13</v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9"/>
      <c r="C43" s="18" t="s">
        <v>56</v>
      </c>
      <c r="D43" s="20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9"/>
      <c r="C44" s="18" t="s">
        <v>56</v>
      </c>
      <c r="D44" s="20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9"/>
      <c r="C45" s="18" t="s">
        <v>56</v>
      </c>
      <c r="D45" s="20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9"/>
      <c r="C46" s="18" t="s">
        <v>56</v>
      </c>
      <c r="D46" s="20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9"/>
      <c r="C47" s="18" t="s">
        <v>56</v>
      </c>
      <c r="D47" s="20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9"/>
      <c r="C48" s="18" t="s">
        <v>56</v>
      </c>
      <c r="D48" s="20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9"/>
      <c r="C49" s="18" t="s">
        <v>56</v>
      </c>
      <c r="D49" s="20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9"/>
      <c r="C50" s="18" t="s">
        <v>56</v>
      </c>
      <c r="D50" s="20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9"/>
      <c r="C51" s="18" t="s">
        <v>56</v>
      </c>
      <c r="D51" s="20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2.59</v>
      </c>
      <c r="L52" s="16" t="n">
        <f aca="false">IF(D52=0,"",2.13+M52/D52)</f>
        <v>2.13</v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16.1205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19"/>
      <c r="C57" s="19"/>
      <c r="D57" s="20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9"/>
      <c r="C58" s="19"/>
      <c r="D58" s="20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9"/>
      <c r="C59" s="19"/>
      <c r="D59" s="20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9"/>
      <c r="C60" s="19"/>
      <c r="D60" s="20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9"/>
      <c r="C61" s="19"/>
      <c r="D61" s="20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9"/>
      <c r="C62" s="19"/>
      <c r="D62" s="20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9"/>
      <c r="C63" s="19"/>
      <c r="D63" s="20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9"/>
      <c r="C64" s="19"/>
      <c r="D64" s="20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9"/>
      <c r="C65" s="19"/>
      <c r="D65" s="20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9"/>
      <c r="C66" s="19"/>
      <c r="D66" s="20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70</v>
      </c>
      <c r="D1" s="6" t="s">
        <v>18</v>
      </c>
      <c r="E1" s="7" t="n">
        <v>46303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612.33</v>
      </c>
      <c r="D4" s="9" t="n">
        <v>1635.64</v>
      </c>
      <c r="F4" s="10" t="n">
        <f aca="false">K23</f>
        <v>126.266</v>
      </c>
      <c r="H4" s="10" t="n">
        <f aca="false">K40</f>
        <v>488.918</v>
      </c>
      <c r="J4" s="10" t="n">
        <f aca="false">E55</f>
        <v>96.216</v>
      </c>
      <c r="L4" s="10" t="n">
        <f aca="false">IF(SUM(D57:D66)=0,0,2.13+E55/SUM(D57:D66))</f>
        <v>16.1761313868613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C9" s="0" t="s">
        <v>39</v>
      </c>
      <c r="D9" s="13"/>
      <c r="E9" s="14"/>
      <c r="F9" s="14"/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0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105.7</v>
      </c>
      <c r="F23" s="5" t="s">
        <v>45</v>
      </c>
      <c r="G23" s="14" t="n">
        <v>35</v>
      </c>
      <c r="H23" s="5" t="s">
        <v>46</v>
      </c>
      <c r="I23" s="14" t="n">
        <f aca="false">0.12*E23+0.05*G23</f>
        <v>14.434</v>
      </c>
      <c r="J23" s="5" t="s">
        <v>47</v>
      </c>
      <c r="K23" s="14" t="n">
        <f aca="false">0.88*E23+0.15*F21+0.95*G23</f>
        <v>126.266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68</v>
      </c>
      <c r="C25" s="0" t="s">
        <v>50</v>
      </c>
      <c r="D25" s="13" t="n">
        <v>11.86</v>
      </c>
      <c r="L25" s="14" t="n">
        <f aca="false">IF(D25=0,"",2.13+M25/D25)</f>
        <v>9.46252032520325</v>
      </c>
      <c r="M25" s="14" t="n">
        <f aca="false">IF(SUM($D$25:$D$36)=0,0,$K$23*D25/SUM($D$25:$D$36))</f>
        <v>86.9636910569106</v>
      </c>
    </row>
    <row r="26" customFormat="false" ht="15" hidden="false" customHeight="false" outlineLevel="0" collapsed="false">
      <c r="A26" s="0" t="n">
        <v>2</v>
      </c>
      <c r="B26" s="17" t="s">
        <v>51</v>
      </c>
      <c r="C26" s="18" t="s">
        <v>52</v>
      </c>
      <c r="D26" s="13" t="n">
        <v>5.36</v>
      </c>
      <c r="L26" s="14" t="n">
        <f aca="false">IF(D26=0,"",2.13+M26/D26)</f>
        <v>9.46252032520325</v>
      </c>
      <c r="M26" s="14" t="n">
        <f aca="false">IF(SUM($D$25:$D$36)=0,0,$K$23*D26/SUM($D$25:$D$36))</f>
        <v>39.3023089430894</v>
      </c>
    </row>
    <row r="27" customFormat="false" ht="15" hidden="false" customHeight="false" outlineLevel="0" collapsed="false">
      <c r="A27" s="0" t="n">
        <v>3</v>
      </c>
      <c r="B27" s="19"/>
      <c r="C27" s="18" t="s">
        <v>50</v>
      </c>
      <c r="D27" s="20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9"/>
      <c r="C28" s="18" t="s">
        <v>50</v>
      </c>
      <c r="D28" s="20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9"/>
      <c r="C29" s="18" t="s">
        <v>50</v>
      </c>
      <c r="D29" s="20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9"/>
      <c r="C30" s="18" t="s">
        <v>50</v>
      </c>
      <c r="D30" s="20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9"/>
      <c r="C31" s="18" t="s">
        <v>50</v>
      </c>
      <c r="D31" s="20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9"/>
      <c r="C32" s="18" t="s">
        <v>50</v>
      </c>
      <c r="D32" s="20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9"/>
      <c r="C33" s="18" t="s">
        <v>50</v>
      </c>
      <c r="D33" s="20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9"/>
      <c r="C34" s="18" t="s">
        <v>50</v>
      </c>
      <c r="D34" s="20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9"/>
      <c r="C35" s="18" t="s">
        <v>50</v>
      </c>
      <c r="D35" s="20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9"/>
      <c r="C36" s="18" t="s">
        <v>50</v>
      </c>
      <c r="D36" s="20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17.22</v>
      </c>
      <c r="L37" s="16" t="n">
        <f aca="false">IF(D37=0,"",2.13+M37/D37)</f>
        <v>9.46252032520325</v>
      </c>
      <c r="M37" s="16" t="n">
        <f aca="false">SUM(M25:M36)</f>
        <v>126.266</v>
      </c>
    </row>
    <row r="39" customFormat="false" ht="15" hidden="false" customHeight="false" outlineLevel="0" collapsed="false">
      <c r="A39" s="11" t="s">
        <v>53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330.8</v>
      </c>
      <c r="F40" s="5" t="s">
        <v>54</v>
      </c>
      <c r="G40" s="14" t="n">
        <v>239.9</v>
      </c>
      <c r="H40" s="5" t="s">
        <v>55</v>
      </c>
      <c r="I40" s="14" t="n">
        <f aca="false">MIN(0.05*D4,E40+G40)</f>
        <v>81.782</v>
      </c>
      <c r="J40" s="5" t="s">
        <v>47</v>
      </c>
      <c r="K40" s="14" t="n">
        <f aca="false">E40+G40-I40</f>
        <v>488.918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71</v>
      </c>
      <c r="C42" s="0" t="s">
        <v>56</v>
      </c>
      <c r="D42" s="13" t="n">
        <v>7.91</v>
      </c>
      <c r="L42" s="14" t="n">
        <f aca="false">IF(D42=0,"",2.13+M42/D42)</f>
        <v>63.9401137800253</v>
      </c>
      <c r="M42" s="14" t="n">
        <f aca="false">IF(SUM($D$42:$D$51)=0,0,$K$40*D42/SUM($D$42:$D$51))</f>
        <v>488.918</v>
      </c>
    </row>
    <row r="43" customFormat="false" ht="15" hidden="false" customHeight="false" outlineLevel="0" collapsed="false">
      <c r="A43" s="0" t="n">
        <v>2</v>
      </c>
      <c r="B43" s="19"/>
      <c r="C43" s="18" t="s">
        <v>56</v>
      </c>
      <c r="D43" s="20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9"/>
      <c r="C44" s="18" t="s">
        <v>56</v>
      </c>
      <c r="D44" s="20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9"/>
      <c r="C45" s="18" t="s">
        <v>56</v>
      </c>
      <c r="D45" s="20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9"/>
      <c r="C46" s="18" t="s">
        <v>56</v>
      </c>
      <c r="D46" s="20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9"/>
      <c r="C47" s="18" t="s">
        <v>56</v>
      </c>
      <c r="D47" s="20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9"/>
      <c r="C48" s="18" t="s">
        <v>56</v>
      </c>
      <c r="D48" s="20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9"/>
      <c r="C49" s="18" t="s">
        <v>56</v>
      </c>
      <c r="D49" s="20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9"/>
      <c r="C50" s="18" t="s">
        <v>56</v>
      </c>
      <c r="D50" s="20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9"/>
      <c r="C51" s="18" t="s">
        <v>56</v>
      </c>
      <c r="D51" s="20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7.91</v>
      </c>
      <c r="L52" s="16" t="n">
        <f aca="false">IF(D52=0,"",2.13+M52/D52)</f>
        <v>63.9401137800253</v>
      </c>
      <c r="M52" s="16" t="n">
        <f aca="false">SUM(M42:M51)</f>
        <v>488.918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96.216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63</v>
      </c>
      <c r="C57" s="0" t="s">
        <v>66</v>
      </c>
      <c r="D57" s="13" t="n">
        <v>6.85</v>
      </c>
      <c r="L57" s="14" t="n">
        <f aca="false">IF(OR(D57=0,SUM($D$57:$D$66)=0),"",2.13+$E$55/SUM($D$57:$D$66))</f>
        <v>16.1761313868613</v>
      </c>
    </row>
    <row r="58" customFormat="false" ht="15" hidden="false" customHeight="false" outlineLevel="0" collapsed="false">
      <c r="A58" s="0" t="n">
        <v>2</v>
      </c>
      <c r="B58" s="19"/>
      <c r="C58" s="19"/>
      <c r="D58" s="20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9"/>
      <c r="C59" s="19"/>
      <c r="D59" s="20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9"/>
      <c r="C60" s="19"/>
      <c r="D60" s="20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9"/>
      <c r="C61" s="19"/>
      <c r="D61" s="20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9"/>
      <c r="C62" s="19"/>
      <c r="D62" s="20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9"/>
      <c r="C63" s="19"/>
      <c r="D63" s="20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9"/>
      <c r="C64" s="19"/>
      <c r="D64" s="20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9"/>
      <c r="C65" s="19"/>
      <c r="D65" s="20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9"/>
      <c r="C66" s="19"/>
      <c r="D66" s="20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6.85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72</v>
      </c>
      <c r="D1" s="6" t="s">
        <v>18</v>
      </c>
      <c r="E1" s="7" t="n">
        <v>46304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5937.86</v>
      </c>
      <c r="D4" s="9" t="n">
        <v>2890.63</v>
      </c>
      <c r="F4" s="10" t="n">
        <f aca="false">K23</f>
        <v>567.669</v>
      </c>
      <c r="H4" s="10" t="n">
        <f aca="false">K40</f>
        <v>876.5485</v>
      </c>
      <c r="J4" s="10" t="n">
        <f aca="false">E55</f>
        <v>322.944</v>
      </c>
      <c r="L4" s="10" t="n">
        <f aca="false">IF(SUM(D57:D66)=0,0,2.13+E55/SUM(D57:D66))</f>
        <v>11.6227689594356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73</v>
      </c>
      <c r="C9" s="0" t="s">
        <v>39</v>
      </c>
      <c r="D9" s="13" t="n">
        <v>6</v>
      </c>
      <c r="E9" s="14" t="n">
        <v>130.1</v>
      </c>
      <c r="F9" s="14" t="n">
        <v>203</v>
      </c>
      <c r="G9" s="14" t="n">
        <f aca="false">0.15*F9</f>
        <v>30.45</v>
      </c>
      <c r="H9" s="14" t="n">
        <f aca="false">0.12*F9</f>
        <v>24.36</v>
      </c>
      <c r="I9" s="14" t="n">
        <f aca="false">0.05*E9</f>
        <v>6.505</v>
      </c>
      <c r="M9" s="14" t="n">
        <f aca="false">E9+F9-G9-H9-I9</f>
        <v>271.785</v>
      </c>
    </row>
    <row r="10" customFormat="false" ht="15" hidden="false" customHeight="false" outlineLevel="0" collapsed="false">
      <c r="A10" s="0" t="n">
        <v>2</v>
      </c>
      <c r="B10" s="0" t="s">
        <v>74</v>
      </c>
      <c r="C10" s="0" t="s">
        <v>39</v>
      </c>
      <c r="D10" s="13" t="n">
        <v>5.86</v>
      </c>
      <c r="E10" s="14" t="n">
        <v>172.48</v>
      </c>
      <c r="F10" s="14" t="n">
        <v>221.9</v>
      </c>
      <c r="G10" s="14" t="n">
        <f aca="false">0.15*F10</f>
        <v>33.285</v>
      </c>
      <c r="H10" s="14" t="n">
        <f aca="false">0.12*F10</f>
        <v>26.628</v>
      </c>
      <c r="I10" s="14" t="n">
        <f aca="false">0.05*E10</f>
        <v>8.624</v>
      </c>
      <c r="M10" s="14" t="n">
        <f aca="false">E10+F10-G10-H10-I10</f>
        <v>325.843</v>
      </c>
    </row>
    <row r="11" customFormat="false" ht="15" hidden="false" customHeight="false" outlineLevel="0" collapsed="false">
      <c r="A11" s="0" t="n">
        <v>3</v>
      </c>
      <c r="B11" s="0" t="s">
        <v>75</v>
      </c>
      <c r="C11" s="0" t="s">
        <v>39</v>
      </c>
      <c r="D11" s="13" t="n">
        <v>5.85</v>
      </c>
      <c r="E11" s="14" t="n">
        <v>94.04</v>
      </c>
      <c r="F11" s="14" t="n">
        <v>180.9</v>
      </c>
      <c r="G11" s="14" t="n">
        <f aca="false">0.15*F11</f>
        <v>27.135</v>
      </c>
      <c r="H11" s="14" t="n">
        <f aca="false">0.12*F11</f>
        <v>21.708</v>
      </c>
      <c r="I11" s="14" t="n">
        <f aca="false">0.05*E11</f>
        <v>4.702</v>
      </c>
      <c r="M11" s="14" t="n">
        <f aca="false">E11+F11-G11-H11-I11</f>
        <v>221.395</v>
      </c>
    </row>
    <row r="12" customFormat="false" ht="15" hidden="false" customHeight="false" outlineLevel="0" collapsed="false">
      <c r="A12" s="0" t="n">
        <v>4</v>
      </c>
      <c r="B12" s="0" t="s">
        <v>76</v>
      </c>
      <c r="C12" s="0" t="s">
        <v>39</v>
      </c>
      <c r="D12" s="13" t="n">
        <v>5.63</v>
      </c>
      <c r="E12" s="14" t="n">
        <v>0</v>
      </c>
      <c r="F12" s="14" t="n">
        <v>0</v>
      </c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B13" s="0" t="s">
        <v>77</v>
      </c>
      <c r="C13" s="0" t="s">
        <v>39</v>
      </c>
      <c r="D13" s="13" t="n">
        <v>4.6</v>
      </c>
      <c r="E13" s="14" t="n">
        <v>51.57</v>
      </c>
      <c r="F13" s="14" t="n">
        <v>153.6</v>
      </c>
      <c r="G13" s="14" t="n">
        <f aca="false">0.15*F13</f>
        <v>23.04</v>
      </c>
      <c r="H13" s="14" t="n">
        <f aca="false">0.12*F13</f>
        <v>18.432</v>
      </c>
      <c r="I13" s="14" t="n">
        <f aca="false">0.05*E13</f>
        <v>2.5785</v>
      </c>
      <c r="M13" s="14" t="n">
        <f aca="false">E13+F13-G13-H13-I13</f>
        <v>161.1195</v>
      </c>
    </row>
    <row r="14" customFormat="false" ht="15" hidden="false" customHeight="false" outlineLevel="0" collapsed="false">
      <c r="A14" s="0" t="n">
        <v>6</v>
      </c>
      <c r="B14" s="0" t="s">
        <v>78</v>
      </c>
      <c r="C14" s="0" t="s">
        <v>39</v>
      </c>
      <c r="D14" s="13" t="n">
        <v>4.07</v>
      </c>
      <c r="E14" s="14" t="n">
        <v>10</v>
      </c>
      <c r="F14" s="14" t="n">
        <v>128.2</v>
      </c>
      <c r="G14" s="14" t="n">
        <f aca="false">0.15*F14</f>
        <v>19.23</v>
      </c>
      <c r="H14" s="14" t="n">
        <f aca="false">0.12*F14</f>
        <v>15.384</v>
      </c>
      <c r="I14" s="14" t="n">
        <f aca="false">0.05*E14</f>
        <v>0.5</v>
      </c>
      <c r="M14" s="14" t="n">
        <f aca="false">E14+F14-G14-H14-I14</f>
        <v>103.086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32.01</v>
      </c>
      <c r="E21" s="16" t="n">
        <f aca="false">SUM(E9:E20)</f>
        <v>458.19</v>
      </c>
      <c r="F21" s="16" t="n">
        <f aca="false">SUM(F9:F20)</f>
        <v>887.6</v>
      </c>
      <c r="G21" s="16" t="n">
        <f aca="false">SUM(G9:G20)</f>
        <v>133.14</v>
      </c>
      <c r="H21" s="16" t="n">
        <f aca="false">SUM(H9:H20)</f>
        <v>106.512</v>
      </c>
      <c r="I21" s="16" t="n">
        <f aca="false">SUM(I9:I20)</f>
        <v>22.9095</v>
      </c>
      <c r="M21" s="16" t="n">
        <f aca="false">SUM(M9:M20)</f>
        <v>1083.2285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354.5</v>
      </c>
      <c r="F23" s="5" t="s">
        <v>45</v>
      </c>
      <c r="G23" s="14" t="n">
        <v>129.02</v>
      </c>
      <c r="H23" s="5" t="s">
        <v>46</v>
      </c>
      <c r="I23" s="14" t="n">
        <f aca="false">0.12*E23+0.05*G23</f>
        <v>48.991</v>
      </c>
      <c r="J23" s="5" t="s">
        <v>47</v>
      </c>
      <c r="K23" s="14" t="n">
        <f aca="false">0.88*E23+0.15*F21+0.95*G23</f>
        <v>567.669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17" t="s">
        <v>51</v>
      </c>
      <c r="C25" s="18" t="s">
        <v>52</v>
      </c>
      <c r="D25" s="13" t="n">
        <v>7.56</v>
      </c>
      <c r="L25" s="14" t="n">
        <f aca="false">IF(D25=0,"",2.13+M25/D25)</f>
        <v>25.812478097622</v>
      </c>
      <c r="M25" s="14" t="n">
        <f aca="false">IF(SUM($D$25:$D$36)=0,0,$K$23*D25/SUM($D$25:$D$36))</f>
        <v>179.039534418023</v>
      </c>
    </row>
    <row r="26" customFormat="false" ht="15" hidden="false" customHeight="false" outlineLevel="0" collapsed="false">
      <c r="A26" s="0" t="n">
        <v>2</v>
      </c>
      <c r="B26" s="0" t="s">
        <v>79</v>
      </c>
      <c r="C26" s="0" t="s">
        <v>50</v>
      </c>
      <c r="D26" s="13" t="n">
        <v>7.21</v>
      </c>
      <c r="L26" s="14" t="n">
        <f aca="false">IF(D26=0,"",2.13+M26/D26)</f>
        <v>25.812478097622</v>
      </c>
      <c r="M26" s="14" t="n">
        <f aca="false">IF(SUM($D$25:$D$36)=0,0,$K$23*D26/SUM($D$25:$D$36))</f>
        <v>170.750667083855</v>
      </c>
    </row>
    <row r="27" customFormat="false" ht="15" hidden="false" customHeight="false" outlineLevel="0" collapsed="false">
      <c r="A27" s="0" t="n">
        <v>3</v>
      </c>
      <c r="B27" s="17" t="s">
        <v>63</v>
      </c>
      <c r="C27" s="18" t="s">
        <v>52</v>
      </c>
      <c r="D27" s="13" t="n">
        <v>5.07</v>
      </c>
      <c r="L27" s="14" t="n">
        <f aca="false">IF(D27=0,"",2.13+M27/D27)</f>
        <v>25.812478097622</v>
      </c>
      <c r="M27" s="14" t="n">
        <f aca="false">IF(SUM($D$25:$D$36)=0,0,$K$23*D27/SUM($D$25:$D$36))</f>
        <v>120.070163954944</v>
      </c>
    </row>
    <row r="28" customFormat="false" ht="15" hidden="false" customHeight="false" outlineLevel="0" collapsed="false">
      <c r="A28" s="0" t="n">
        <v>4</v>
      </c>
      <c r="B28" s="0" t="s">
        <v>78</v>
      </c>
      <c r="C28" s="0" t="s">
        <v>50</v>
      </c>
      <c r="D28" s="13" t="n">
        <v>4.13</v>
      </c>
      <c r="L28" s="14" t="n">
        <f aca="false">IF(D28=0,"",2.13+M28/D28)</f>
        <v>25.812478097622</v>
      </c>
      <c r="M28" s="14" t="n">
        <f aca="false">IF(SUM($D$25:$D$36)=0,0,$K$23*D28/SUM($D$25:$D$36))</f>
        <v>97.808634543179</v>
      </c>
    </row>
    <row r="29" customFormat="false" ht="15" hidden="false" customHeight="false" outlineLevel="0" collapsed="false">
      <c r="A29" s="0" t="n">
        <v>5</v>
      </c>
      <c r="B29" s="19"/>
      <c r="C29" s="18" t="s">
        <v>50</v>
      </c>
      <c r="D29" s="20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9"/>
      <c r="C30" s="18" t="s">
        <v>50</v>
      </c>
      <c r="D30" s="20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9"/>
      <c r="C31" s="18" t="s">
        <v>50</v>
      </c>
      <c r="D31" s="20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9"/>
      <c r="C32" s="18" t="s">
        <v>50</v>
      </c>
      <c r="D32" s="20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9"/>
      <c r="C33" s="18" t="s">
        <v>50</v>
      </c>
      <c r="D33" s="20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9"/>
      <c r="C34" s="18" t="s">
        <v>50</v>
      </c>
      <c r="D34" s="20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9"/>
      <c r="C35" s="18" t="s">
        <v>50</v>
      </c>
      <c r="D35" s="20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9"/>
      <c r="C36" s="18" t="s">
        <v>50</v>
      </c>
      <c r="D36" s="20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23.97</v>
      </c>
      <c r="L37" s="16" t="n">
        <f aca="false">IF(D37=0,"",2.13+M37/D37)</f>
        <v>25.812478097622</v>
      </c>
      <c r="M37" s="16" t="n">
        <f aca="false">SUM(M25:M36)</f>
        <v>567.669</v>
      </c>
    </row>
    <row r="39" customFormat="false" ht="15" hidden="false" customHeight="false" outlineLevel="0" collapsed="false">
      <c r="A39" s="11" t="s">
        <v>53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436.6</v>
      </c>
      <c r="F40" s="5" t="s">
        <v>54</v>
      </c>
      <c r="G40" s="14" t="n">
        <v>584.48</v>
      </c>
      <c r="H40" s="5" t="s">
        <v>55</v>
      </c>
      <c r="I40" s="14" t="n">
        <f aca="false">MIN(0.05*D4,E40+G40)</f>
        <v>144.5315</v>
      </c>
      <c r="J40" s="5" t="s">
        <v>47</v>
      </c>
      <c r="K40" s="14" t="n">
        <f aca="false">E40+G40-I40</f>
        <v>876.5485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9"/>
      <c r="C42" s="18" t="s">
        <v>56</v>
      </c>
      <c r="D42" s="20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9"/>
      <c r="C43" s="18" t="s">
        <v>56</v>
      </c>
      <c r="D43" s="20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9"/>
      <c r="C44" s="18" t="s">
        <v>56</v>
      </c>
      <c r="D44" s="20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9"/>
      <c r="C45" s="18" t="s">
        <v>56</v>
      </c>
      <c r="D45" s="20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9"/>
      <c r="C46" s="18" t="s">
        <v>56</v>
      </c>
      <c r="D46" s="20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9"/>
      <c r="C47" s="18" t="s">
        <v>56</v>
      </c>
      <c r="D47" s="20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9"/>
      <c r="C48" s="18" t="s">
        <v>56</v>
      </c>
      <c r="D48" s="20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9"/>
      <c r="C49" s="18" t="s">
        <v>56</v>
      </c>
      <c r="D49" s="20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9"/>
      <c r="C50" s="18" t="s">
        <v>56</v>
      </c>
      <c r="D50" s="20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9"/>
      <c r="C51" s="18" t="s">
        <v>56</v>
      </c>
      <c r="D51" s="20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322.944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80</v>
      </c>
      <c r="C57" s="0" t="s">
        <v>66</v>
      </c>
      <c r="D57" s="13" t="n">
        <v>10.02</v>
      </c>
      <c r="L57" s="14" t="n">
        <f aca="false">IF(OR(D57=0,SUM($D$57:$D$66)=0),"",2.13+$E$55/SUM($D$57:$D$66))</f>
        <v>11.6227689594356</v>
      </c>
    </row>
    <row r="58" customFormat="false" ht="15" hidden="false" customHeight="false" outlineLevel="0" collapsed="false">
      <c r="A58" s="0" t="n">
        <v>2</v>
      </c>
      <c r="B58" s="0" t="s">
        <v>81</v>
      </c>
      <c r="C58" s="0" t="s">
        <v>66</v>
      </c>
      <c r="D58" s="13" t="n">
        <v>9.36</v>
      </c>
      <c r="L58" s="14" t="n">
        <f aca="false">IF(OR(D58=0,SUM($D$57:$D$66)=0),"",2.13+$E$55/SUM($D$57:$D$66))</f>
        <v>11.6227689594356</v>
      </c>
    </row>
    <row r="59" customFormat="false" ht="15" hidden="false" customHeight="false" outlineLevel="0" collapsed="false">
      <c r="A59" s="0" t="n">
        <v>3</v>
      </c>
      <c r="B59" s="0" t="s">
        <v>82</v>
      </c>
      <c r="C59" s="0" t="s">
        <v>83</v>
      </c>
      <c r="D59" s="13" t="n">
        <v>9.12</v>
      </c>
      <c r="L59" s="14" t="n">
        <f aca="false">IF(OR(D59=0,SUM($D$57:$D$66)=0),"",2.13+$E$55/SUM($D$57:$D$66))</f>
        <v>11.6227689594356</v>
      </c>
    </row>
    <row r="60" customFormat="false" ht="15" hidden="false" customHeight="false" outlineLevel="0" collapsed="false">
      <c r="A60" s="0" t="n">
        <v>4</v>
      </c>
      <c r="B60" s="0" t="s">
        <v>84</v>
      </c>
      <c r="C60" s="0" t="s">
        <v>85</v>
      </c>
      <c r="D60" s="13" t="n">
        <v>5.52</v>
      </c>
      <c r="L60" s="14" t="n">
        <f aca="false">IF(OR(D60=0,SUM($D$57:$D$66)=0),"",2.13+$E$55/SUM($D$57:$D$66))</f>
        <v>11.6227689594356</v>
      </c>
    </row>
    <row r="61" customFormat="false" ht="15" hidden="false" customHeight="false" outlineLevel="0" collapsed="false">
      <c r="A61" s="0" t="n">
        <v>5</v>
      </c>
      <c r="B61" s="19"/>
      <c r="C61" s="19"/>
      <c r="D61" s="20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9"/>
      <c r="C62" s="19"/>
      <c r="D62" s="20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9"/>
      <c r="C63" s="19"/>
      <c r="D63" s="20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9"/>
      <c r="C64" s="19"/>
      <c r="D64" s="20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9"/>
      <c r="C65" s="19"/>
      <c r="D65" s="20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9"/>
      <c r="C66" s="19"/>
      <c r="D66" s="20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34.02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86</v>
      </c>
      <c r="D1" s="6" t="s">
        <v>18</v>
      </c>
      <c r="E1" s="7" t="n">
        <v>46305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12652.14</v>
      </c>
      <c r="D4" s="9" t="n">
        <v>8982.62</v>
      </c>
      <c r="F4" s="10" t="n">
        <f aca="false">K23</f>
        <v>2649.939</v>
      </c>
      <c r="H4" s="10" t="n">
        <f aca="false">K40</f>
        <v>3266.469</v>
      </c>
      <c r="J4" s="10" t="n">
        <f aca="false">E55</f>
        <v>885.983</v>
      </c>
      <c r="L4" s="10" t="n">
        <f aca="false">IF(SUM(D57:D66)=0,0,2.13+E55/SUM(D57:D66))</f>
        <v>27.1295203160271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78</v>
      </c>
      <c r="C9" s="0" t="s">
        <v>39</v>
      </c>
      <c r="D9" s="13" t="n">
        <v>9.81</v>
      </c>
      <c r="E9" s="14" t="n">
        <v>167.21</v>
      </c>
      <c r="F9" s="14" t="n">
        <v>270.2</v>
      </c>
      <c r="G9" s="14" t="n">
        <f aca="false">0.15*F9</f>
        <v>40.53</v>
      </c>
      <c r="H9" s="14" t="n">
        <f aca="false">0.12*F9</f>
        <v>32.424</v>
      </c>
      <c r="I9" s="14" t="n">
        <f aca="false">0.05*E9</f>
        <v>8.3605</v>
      </c>
      <c r="M9" s="14" t="n">
        <f aca="false">E9+F9-G9-H9-I9</f>
        <v>356.0955</v>
      </c>
    </row>
    <row r="10" customFormat="false" ht="15" hidden="false" customHeight="false" outlineLevel="0" collapsed="false">
      <c r="A10" s="0" t="n">
        <v>2</v>
      </c>
      <c r="B10" s="0" t="s">
        <v>75</v>
      </c>
      <c r="C10" s="0" t="s">
        <v>39</v>
      </c>
      <c r="D10" s="13" t="n">
        <v>9.47</v>
      </c>
      <c r="E10" s="14" t="n">
        <v>312.25</v>
      </c>
      <c r="F10" s="14" t="n">
        <v>492.1</v>
      </c>
      <c r="G10" s="14" t="n">
        <f aca="false">0.15*F10</f>
        <v>73.815</v>
      </c>
      <c r="H10" s="14" t="n">
        <f aca="false">0.12*F10</f>
        <v>59.052</v>
      </c>
      <c r="I10" s="14" t="n">
        <f aca="false">0.05*E10</f>
        <v>15.6125</v>
      </c>
      <c r="M10" s="14" t="n">
        <f aca="false">E10+F10-G10-H10-I10</f>
        <v>655.8705</v>
      </c>
    </row>
    <row r="11" customFormat="false" ht="15" hidden="false" customHeight="false" outlineLevel="0" collapsed="false">
      <c r="A11" s="0" t="n">
        <v>3</v>
      </c>
      <c r="B11" s="0" t="s">
        <v>74</v>
      </c>
      <c r="C11" s="0" t="s">
        <v>39</v>
      </c>
      <c r="D11" s="13" t="n">
        <v>8.33</v>
      </c>
      <c r="E11" s="14" t="n">
        <v>117.49</v>
      </c>
      <c r="F11" s="14" t="n">
        <v>209</v>
      </c>
      <c r="G11" s="14" t="n">
        <f aca="false">0.15*F11</f>
        <v>31.35</v>
      </c>
      <c r="H11" s="14" t="n">
        <f aca="false">0.12*F11</f>
        <v>25.08</v>
      </c>
      <c r="I11" s="14" t="n">
        <f aca="false">0.05*E11</f>
        <v>5.8745</v>
      </c>
      <c r="M11" s="14" t="n">
        <f aca="false">E11+F11-G11-H11-I11</f>
        <v>264.1855</v>
      </c>
    </row>
    <row r="12" customFormat="false" ht="15" hidden="false" customHeight="false" outlineLevel="0" collapsed="false">
      <c r="A12" s="0" t="n">
        <v>4</v>
      </c>
      <c r="B12" s="0" t="s">
        <v>77</v>
      </c>
      <c r="C12" s="0" t="s">
        <v>39</v>
      </c>
      <c r="D12" s="13" t="n">
        <v>8.19</v>
      </c>
      <c r="E12" s="14" t="n">
        <v>44.79</v>
      </c>
      <c r="F12" s="14" t="n">
        <v>261.9</v>
      </c>
      <c r="G12" s="14" t="n">
        <f aca="false">0.15*F12</f>
        <v>39.285</v>
      </c>
      <c r="H12" s="14" t="n">
        <f aca="false">0.12*F12</f>
        <v>31.428</v>
      </c>
      <c r="I12" s="14" t="n">
        <f aca="false">0.05*E12</f>
        <v>2.2395</v>
      </c>
      <c r="M12" s="14" t="n">
        <f aca="false">E12+F12-G12-H12-I12</f>
        <v>233.7375</v>
      </c>
    </row>
    <row r="13" customFormat="false" ht="15" hidden="false" customHeight="false" outlineLevel="0" collapsed="false">
      <c r="A13" s="0" t="n">
        <v>5</v>
      </c>
      <c r="B13" s="0" t="s">
        <v>73</v>
      </c>
      <c r="C13" s="0" t="s">
        <v>39</v>
      </c>
      <c r="D13" s="13" t="n">
        <v>7.97</v>
      </c>
      <c r="E13" s="14" t="n">
        <v>274.02</v>
      </c>
      <c r="F13" s="14" t="n">
        <v>247.7</v>
      </c>
      <c r="G13" s="14" t="n">
        <f aca="false">0.15*F13</f>
        <v>37.155</v>
      </c>
      <c r="H13" s="14" t="n">
        <f aca="false">0.12*F13</f>
        <v>29.724</v>
      </c>
      <c r="I13" s="14" t="n">
        <f aca="false">0.05*E13</f>
        <v>13.701</v>
      </c>
      <c r="M13" s="14" t="n">
        <f aca="false">E13+F13-G13-H13-I13</f>
        <v>441.14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43.77</v>
      </c>
      <c r="E21" s="16" t="n">
        <f aca="false">SUM(E9:E20)</f>
        <v>915.76</v>
      </c>
      <c r="F21" s="16" t="n">
        <f aca="false">SUM(F9:F20)</f>
        <v>1480.9</v>
      </c>
      <c r="G21" s="16" t="n">
        <f aca="false">SUM(G9:G20)</f>
        <v>222.135</v>
      </c>
      <c r="H21" s="16" t="n">
        <f aca="false">SUM(H9:H20)</f>
        <v>177.708</v>
      </c>
      <c r="I21" s="16" t="n">
        <f aca="false">SUM(I9:I20)</f>
        <v>45.788</v>
      </c>
      <c r="M21" s="16" t="n">
        <f aca="false">SUM(M9:M20)</f>
        <v>1951.029</v>
      </c>
    </row>
    <row r="22" customFormat="false" ht="15" hidden="false" customHeight="false" outlineLevel="0" collapsed="false">
      <c r="B22" s="21" t="s">
        <v>87</v>
      </c>
      <c r="C22" s="5" t="s">
        <v>88</v>
      </c>
      <c r="D22" s="13" t="n">
        <v>6.25</v>
      </c>
      <c r="E22" s="14" t="n">
        <v>0</v>
      </c>
      <c r="F22" s="14" t="n">
        <v>40</v>
      </c>
      <c r="H22" s="5" t="s">
        <v>89</v>
      </c>
      <c r="M22" s="14" t="n">
        <f aca="false">E22+F22</f>
        <v>40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1161.4</v>
      </c>
      <c r="F23" s="5" t="s">
        <v>45</v>
      </c>
      <c r="G23" s="14" t="n">
        <v>1479.76</v>
      </c>
      <c r="H23" s="5" t="s">
        <v>46</v>
      </c>
      <c r="I23" s="14" t="n">
        <f aca="false">0.12*E23+0.05*G23</f>
        <v>213.356</v>
      </c>
      <c r="J23" s="5" t="s">
        <v>47</v>
      </c>
      <c r="K23" s="14" t="n">
        <f aca="false">0.88*E23+0.15*F21+0.95*G23</f>
        <v>2649.939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17" t="s">
        <v>51</v>
      </c>
      <c r="C25" s="18" t="s">
        <v>52</v>
      </c>
      <c r="D25" s="13" t="n">
        <v>9.74</v>
      </c>
      <c r="L25" s="14" t="n">
        <f aca="false">IF(D25=0,"",2.13+M25/D25)</f>
        <v>63.4711805555556</v>
      </c>
      <c r="M25" s="14" t="n">
        <f aca="false">IF(SUM($D$25:$D$36)=0,0,$K$23*D25/SUM($D$25:$D$36))</f>
        <v>597.463098611111</v>
      </c>
    </row>
    <row r="26" customFormat="false" ht="15" hidden="false" customHeight="false" outlineLevel="0" collapsed="false">
      <c r="A26" s="0" t="n">
        <v>2</v>
      </c>
      <c r="B26" s="0" t="s">
        <v>79</v>
      </c>
      <c r="C26" s="0" t="s">
        <v>50</v>
      </c>
      <c r="D26" s="13" t="n">
        <v>9.64</v>
      </c>
      <c r="L26" s="14" t="n">
        <f aca="false">IF(D26=0,"",2.13+M26/D26)</f>
        <v>63.4711805555556</v>
      </c>
      <c r="M26" s="14" t="n">
        <f aca="false">IF(SUM($D$25:$D$36)=0,0,$K$23*D26/SUM($D$25:$D$36))</f>
        <v>591.328980555556</v>
      </c>
    </row>
    <row r="27" customFormat="false" ht="15" hidden="false" customHeight="false" outlineLevel="0" collapsed="false">
      <c r="A27" s="0" t="n">
        <v>3</v>
      </c>
      <c r="B27" s="0" t="s">
        <v>49</v>
      </c>
      <c r="C27" s="0" t="s">
        <v>50</v>
      </c>
      <c r="D27" s="13" t="n">
        <v>8.72</v>
      </c>
      <c r="L27" s="14" t="n">
        <f aca="false">IF(D27=0,"",2.13+M27/D27)</f>
        <v>63.4711805555556</v>
      </c>
      <c r="M27" s="14" t="n">
        <f aca="false">IF(SUM($D$25:$D$36)=0,0,$K$23*D27/SUM($D$25:$D$36))</f>
        <v>534.895094444445</v>
      </c>
    </row>
    <row r="28" customFormat="false" ht="15" hidden="false" customHeight="false" outlineLevel="0" collapsed="false">
      <c r="A28" s="0" t="n">
        <v>4</v>
      </c>
      <c r="B28" s="0" t="s">
        <v>68</v>
      </c>
      <c r="C28" s="0" t="s">
        <v>50</v>
      </c>
      <c r="D28" s="13" t="n">
        <v>7.76</v>
      </c>
      <c r="L28" s="14" t="n">
        <f aca="false">IF(D28=0,"",2.13+M28/D28)</f>
        <v>63.4711805555556</v>
      </c>
      <c r="M28" s="14" t="n">
        <f aca="false">IF(SUM($D$25:$D$36)=0,0,$K$23*D28/SUM($D$25:$D$36))</f>
        <v>476.007561111111</v>
      </c>
    </row>
    <row r="29" customFormat="false" ht="15" hidden="false" customHeight="false" outlineLevel="0" collapsed="false">
      <c r="A29" s="0" t="n">
        <v>5</v>
      </c>
      <c r="B29" s="17" t="s">
        <v>63</v>
      </c>
      <c r="C29" s="18" t="s">
        <v>52</v>
      </c>
      <c r="D29" s="13" t="n">
        <v>7.34</v>
      </c>
      <c r="L29" s="14" t="n">
        <f aca="false">IF(D29=0,"",2.13+M29/D29)</f>
        <v>63.4711805555556</v>
      </c>
      <c r="M29" s="14" t="n">
        <f aca="false">IF(SUM($D$25:$D$36)=0,0,$K$23*D29/SUM($D$25:$D$36))</f>
        <v>450.244265277778</v>
      </c>
    </row>
    <row r="30" customFormat="false" ht="15" hidden="false" customHeight="false" outlineLevel="0" collapsed="false">
      <c r="A30" s="0" t="n">
        <v>6</v>
      </c>
      <c r="B30" s="17" t="s">
        <v>77</v>
      </c>
      <c r="C30" s="18" t="s">
        <v>52</v>
      </c>
      <c r="D30" s="13" t="n">
        <v>0</v>
      </c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9"/>
      <c r="C31" s="18" t="s">
        <v>50</v>
      </c>
      <c r="D31" s="20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9"/>
      <c r="C32" s="18" t="s">
        <v>50</v>
      </c>
      <c r="D32" s="20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9"/>
      <c r="C33" s="18" t="s">
        <v>50</v>
      </c>
      <c r="D33" s="20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9"/>
      <c r="C34" s="18" t="s">
        <v>50</v>
      </c>
      <c r="D34" s="20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9"/>
      <c r="C35" s="18" t="s">
        <v>50</v>
      </c>
      <c r="D35" s="20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9"/>
      <c r="C36" s="18" t="s">
        <v>50</v>
      </c>
      <c r="D36" s="20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43.2</v>
      </c>
      <c r="L37" s="16" t="n">
        <f aca="false">IF(D37=0,"",2.13+M37/D37)</f>
        <v>63.4711805555556</v>
      </c>
      <c r="M37" s="16" t="n">
        <f aca="false">SUM(M25:M36)</f>
        <v>2649.939</v>
      </c>
    </row>
    <row r="39" customFormat="false" ht="15" hidden="false" customHeight="false" outlineLevel="0" collapsed="false">
      <c r="A39" s="11" t="s">
        <v>53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1493.2</v>
      </c>
      <c r="F40" s="5" t="s">
        <v>54</v>
      </c>
      <c r="G40" s="14" t="n">
        <v>2222.4</v>
      </c>
      <c r="H40" s="5" t="s">
        <v>55</v>
      </c>
      <c r="I40" s="14" t="n">
        <f aca="false">MIN(0.05*D4,E40+G40)</f>
        <v>449.131</v>
      </c>
      <c r="J40" s="5" t="s">
        <v>47</v>
      </c>
      <c r="K40" s="14" t="n">
        <f aca="false">E40+G40-I40</f>
        <v>3266.469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9"/>
      <c r="C42" s="18" t="s">
        <v>56</v>
      </c>
      <c r="D42" s="20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9"/>
      <c r="C43" s="18" t="s">
        <v>56</v>
      </c>
      <c r="D43" s="20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9"/>
      <c r="C44" s="18" t="s">
        <v>56</v>
      </c>
      <c r="D44" s="20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9"/>
      <c r="C45" s="18" t="s">
        <v>56</v>
      </c>
      <c r="D45" s="20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9"/>
      <c r="C46" s="18" t="s">
        <v>56</v>
      </c>
      <c r="D46" s="20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9"/>
      <c r="C47" s="18" t="s">
        <v>56</v>
      </c>
      <c r="D47" s="20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9"/>
      <c r="C48" s="18" t="s">
        <v>56</v>
      </c>
      <c r="D48" s="20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9"/>
      <c r="C49" s="18" t="s">
        <v>56</v>
      </c>
      <c r="D49" s="20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9"/>
      <c r="C50" s="18" t="s">
        <v>56</v>
      </c>
      <c r="D50" s="20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9"/>
      <c r="C51" s="18" t="s">
        <v>56</v>
      </c>
      <c r="D51" s="20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885.983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81</v>
      </c>
      <c r="C57" s="0" t="s">
        <v>66</v>
      </c>
      <c r="D57" s="13" t="n">
        <v>11.12</v>
      </c>
      <c r="L57" s="14" t="n">
        <f aca="false">IF(OR(D57=0,SUM($D$57:$D$66)=0),"",2.13+$E$55/SUM($D$57:$D$66))</f>
        <v>27.1295203160271</v>
      </c>
    </row>
    <row r="58" customFormat="false" ht="15" hidden="false" customHeight="false" outlineLevel="0" collapsed="false">
      <c r="A58" s="0" t="n">
        <v>2</v>
      </c>
      <c r="B58" s="0" t="s">
        <v>80</v>
      </c>
      <c r="C58" s="0" t="s">
        <v>66</v>
      </c>
      <c r="D58" s="13" t="n">
        <v>10.01</v>
      </c>
      <c r="L58" s="14" t="n">
        <f aca="false">IF(OR(D58=0,SUM($D$57:$D$66)=0),"",2.13+$E$55/SUM($D$57:$D$66))</f>
        <v>27.1295203160271</v>
      </c>
    </row>
    <row r="59" customFormat="false" ht="15" hidden="false" customHeight="false" outlineLevel="0" collapsed="false">
      <c r="A59" s="0" t="n">
        <v>3</v>
      </c>
      <c r="B59" s="0" t="s">
        <v>82</v>
      </c>
      <c r="C59" s="0" t="s">
        <v>83</v>
      </c>
      <c r="D59" s="13" t="n">
        <v>6.34</v>
      </c>
      <c r="L59" s="14" t="n">
        <f aca="false">IF(OR(D59=0,SUM($D$57:$D$66)=0),"",2.13+$E$55/SUM($D$57:$D$66))</f>
        <v>27.1295203160271</v>
      </c>
    </row>
    <row r="60" customFormat="false" ht="15" hidden="false" customHeight="false" outlineLevel="0" collapsed="false">
      <c r="A60" s="0" t="n">
        <v>4</v>
      </c>
      <c r="B60" s="0" t="s">
        <v>84</v>
      </c>
      <c r="C60" s="0" t="s">
        <v>85</v>
      </c>
      <c r="D60" s="13" t="n">
        <v>7.97</v>
      </c>
      <c r="L60" s="14" t="n">
        <f aca="false">IF(OR(D60=0,SUM($D$57:$D$66)=0),"",2.13+$E$55/SUM($D$57:$D$66))</f>
        <v>27.1295203160271</v>
      </c>
    </row>
    <row r="61" customFormat="false" ht="15" hidden="false" customHeight="false" outlineLevel="0" collapsed="false">
      <c r="A61" s="0" t="n">
        <v>5</v>
      </c>
      <c r="B61" s="19"/>
      <c r="C61" s="19"/>
      <c r="D61" s="20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9"/>
      <c r="C62" s="19"/>
      <c r="D62" s="20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9"/>
      <c r="C63" s="19"/>
      <c r="D63" s="20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9"/>
      <c r="C64" s="19"/>
      <c r="D64" s="20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9"/>
      <c r="C65" s="19"/>
      <c r="D65" s="20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9"/>
      <c r="C66" s="19"/>
      <c r="D66" s="20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35.44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90</v>
      </c>
      <c r="D1" s="6" t="s">
        <v>18</v>
      </c>
      <c r="E1" s="7" t="n">
        <v>46306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2253.9</v>
      </c>
      <c r="D4" s="9" t="n">
        <v>3036.44</v>
      </c>
      <c r="F4" s="10" t="n">
        <f aca="false">K23</f>
        <v>111.263</v>
      </c>
      <c r="H4" s="10" t="n">
        <f aca="false">K40</f>
        <v>1156.978</v>
      </c>
      <c r="J4" s="10" t="n">
        <f aca="false">E55</f>
        <v>209.0945</v>
      </c>
      <c r="L4" s="10" t="n">
        <f aca="false">IF(SUM(D57:D66)=0,0,2.13+E55/SUM(D57:D66))</f>
        <v>27.8805541871921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74</v>
      </c>
      <c r="C9" s="0" t="s">
        <v>39</v>
      </c>
      <c r="D9" s="13" t="n">
        <v>5.97</v>
      </c>
      <c r="E9" s="14" t="n">
        <v>57.31</v>
      </c>
      <c r="F9" s="14" t="n">
        <v>179.4</v>
      </c>
      <c r="G9" s="14" t="n">
        <f aca="false">0.15*F9</f>
        <v>26.91</v>
      </c>
      <c r="H9" s="14" t="n">
        <f aca="false">0.12*F9</f>
        <v>21.528</v>
      </c>
      <c r="I9" s="14" t="n">
        <f aca="false">0.05*E9</f>
        <v>2.8655</v>
      </c>
      <c r="M9" s="14" t="n">
        <f aca="false">E9+F9-G9-H9-I9</f>
        <v>185.4065</v>
      </c>
    </row>
    <row r="10" customFormat="false" ht="15" hidden="false" customHeight="false" outlineLevel="0" collapsed="false">
      <c r="A10" s="0" t="n">
        <v>2</v>
      </c>
      <c r="B10" s="0" t="s">
        <v>77</v>
      </c>
      <c r="C10" s="0" t="s">
        <v>39</v>
      </c>
      <c r="D10" s="13" t="n">
        <v>4.44</v>
      </c>
      <c r="E10" s="14" t="n">
        <v>27.12</v>
      </c>
      <c r="F10" s="14" t="n">
        <v>212.8</v>
      </c>
      <c r="G10" s="14" t="n">
        <f aca="false">0.15*F10</f>
        <v>31.92</v>
      </c>
      <c r="H10" s="14" t="n">
        <f aca="false">0.12*F10</f>
        <v>25.536</v>
      </c>
      <c r="I10" s="14" t="n">
        <f aca="false">0.05*E10</f>
        <v>1.356</v>
      </c>
      <c r="M10" s="14" t="n">
        <f aca="false">E10+F10-G10-H10-I10</f>
        <v>181.108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10.41</v>
      </c>
      <c r="E21" s="16" t="n">
        <f aca="false">SUM(E9:E20)</f>
        <v>84.43</v>
      </c>
      <c r="F21" s="16" t="n">
        <f aca="false">SUM(F9:F20)</f>
        <v>392.2</v>
      </c>
      <c r="G21" s="16" t="n">
        <f aca="false">SUM(G9:G20)</f>
        <v>58.83</v>
      </c>
      <c r="H21" s="16" t="n">
        <f aca="false">SUM(H9:H20)</f>
        <v>47.064</v>
      </c>
      <c r="I21" s="16" t="n">
        <f aca="false">SUM(I9:I20)</f>
        <v>4.2215</v>
      </c>
      <c r="M21" s="16" t="n">
        <f aca="false">SUM(M9:M20)</f>
        <v>366.5145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43.8</v>
      </c>
      <c r="F23" s="5" t="s">
        <v>45</v>
      </c>
      <c r="G23" s="14" t="n">
        <v>14.62</v>
      </c>
      <c r="H23" s="5" t="s">
        <v>46</v>
      </c>
      <c r="I23" s="14" t="n">
        <f aca="false">0.12*E23+0.05*G23</f>
        <v>5.987</v>
      </c>
      <c r="J23" s="5" t="s">
        <v>47</v>
      </c>
      <c r="K23" s="14" t="n">
        <f aca="false">0.88*E23+0.15*F21+0.95*G23</f>
        <v>111.263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68</v>
      </c>
      <c r="C25" s="0" t="s">
        <v>50</v>
      </c>
      <c r="D25" s="13" t="n">
        <v>5.88</v>
      </c>
      <c r="L25" s="14" t="n">
        <f aca="false">IF(D25=0,"",2.13+M25/D25)</f>
        <v>10.6952809853734</v>
      </c>
      <c r="M25" s="14" t="n">
        <f aca="false">IF(SUM($D$25:$D$36)=0,0,$K$23*D25/SUM($D$25:$D$36))</f>
        <v>50.3638521939954</v>
      </c>
    </row>
    <row r="26" customFormat="false" ht="15" hidden="false" customHeight="false" outlineLevel="0" collapsed="false">
      <c r="A26" s="0" t="n">
        <v>2</v>
      </c>
      <c r="B26" s="17" t="s">
        <v>63</v>
      </c>
      <c r="C26" s="18" t="s">
        <v>52</v>
      </c>
      <c r="D26" s="13" t="n">
        <v>5.43</v>
      </c>
      <c r="L26" s="14" t="n">
        <f aca="false">IF(D26=0,"",2.13+M26/D26)</f>
        <v>10.6952809853734</v>
      </c>
      <c r="M26" s="14" t="n">
        <f aca="false">IF(SUM($D$25:$D$36)=0,0,$K$23*D26/SUM($D$25:$D$36))</f>
        <v>46.5094757505774</v>
      </c>
    </row>
    <row r="27" customFormat="false" ht="15" hidden="false" customHeight="false" outlineLevel="0" collapsed="false">
      <c r="A27" s="0" t="n">
        <v>3</v>
      </c>
      <c r="B27" s="0" t="s">
        <v>78</v>
      </c>
      <c r="C27" s="0" t="s">
        <v>50</v>
      </c>
      <c r="D27" s="13" t="n">
        <v>1.68</v>
      </c>
      <c r="L27" s="14" t="n">
        <f aca="false">IF(D27=0,"",2.13+M27/D27)</f>
        <v>10.6952809853734</v>
      </c>
      <c r="M27" s="14" t="n">
        <f aca="false">IF(SUM($D$25:$D$36)=0,0,$K$23*D27/SUM($D$25:$D$36))</f>
        <v>14.3896720554273</v>
      </c>
    </row>
    <row r="28" customFormat="false" ht="15" hidden="false" customHeight="false" outlineLevel="0" collapsed="false">
      <c r="A28" s="0" t="n">
        <v>4</v>
      </c>
      <c r="B28" s="19"/>
      <c r="C28" s="18" t="s">
        <v>50</v>
      </c>
      <c r="D28" s="20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9"/>
      <c r="C29" s="18" t="s">
        <v>50</v>
      </c>
      <c r="D29" s="20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9"/>
      <c r="C30" s="18" t="s">
        <v>50</v>
      </c>
      <c r="D30" s="20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9"/>
      <c r="C31" s="18" t="s">
        <v>50</v>
      </c>
      <c r="D31" s="20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9"/>
      <c r="C32" s="18" t="s">
        <v>50</v>
      </c>
      <c r="D32" s="20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9"/>
      <c r="C33" s="18" t="s">
        <v>50</v>
      </c>
      <c r="D33" s="20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9"/>
      <c r="C34" s="18" t="s">
        <v>50</v>
      </c>
      <c r="D34" s="20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9"/>
      <c r="C35" s="18" t="s">
        <v>50</v>
      </c>
      <c r="D35" s="20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9"/>
      <c r="C36" s="18" t="s">
        <v>50</v>
      </c>
      <c r="D36" s="20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12.99</v>
      </c>
      <c r="L37" s="16" t="n">
        <f aca="false">IF(D37=0,"",2.13+M37/D37)</f>
        <v>10.6952809853734</v>
      </c>
      <c r="M37" s="16" t="n">
        <f aca="false">SUM(M25:M36)</f>
        <v>111.263</v>
      </c>
    </row>
    <row r="39" customFormat="false" ht="15" hidden="false" customHeight="false" outlineLevel="0" collapsed="false">
      <c r="A39" s="11" t="s">
        <v>53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825.8</v>
      </c>
      <c r="F40" s="5" t="s">
        <v>54</v>
      </c>
      <c r="G40" s="14" t="n">
        <v>483</v>
      </c>
      <c r="H40" s="5" t="s">
        <v>55</v>
      </c>
      <c r="I40" s="14" t="n">
        <f aca="false">MIN(0.05*D4,E40+G40)</f>
        <v>151.822</v>
      </c>
      <c r="J40" s="5" t="s">
        <v>47</v>
      </c>
      <c r="K40" s="14" t="n">
        <f aca="false">E40+G40-I40</f>
        <v>1156.978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9"/>
      <c r="C42" s="18" t="s">
        <v>56</v>
      </c>
      <c r="D42" s="20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9"/>
      <c r="C43" s="18" t="s">
        <v>56</v>
      </c>
      <c r="D43" s="20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9"/>
      <c r="C44" s="18" t="s">
        <v>56</v>
      </c>
      <c r="D44" s="20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9"/>
      <c r="C45" s="18" t="s">
        <v>56</v>
      </c>
      <c r="D45" s="20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9"/>
      <c r="C46" s="18" t="s">
        <v>56</v>
      </c>
      <c r="D46" s="20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9"/>
      <c r="C47" s="18" t="s">
        <v>56</v>
      </c>
      <c r="D47" s="20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9"/>
      <c r="C48" s="18" t="s">
        <v>56</v>
      </c>
      <c r="D48" s="20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9"/>
      <c r="C49" s="18" t="s">
        <v>56</v>
      </c>
      <c r="D49" s="20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9"/>
      <c r="C50" s="18" t="s">
        <v>56</v>
      </c>
      <c r="D50" s="20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9"/>
      <c r="C51" s="18" t="s">
        <v>56</v>
      </c>
      <c r="D51" s="20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209.0945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65</v>
      </c>
      <c r="C57" s="0" t="s">
        <v>66</v>
      </c>
      <c r="D57" s="13" t="n">
        <v>8.12</v>
      </c>
      <c r="L57" s="14" t="n">
        <f aca="false">IF(OR(D57=0,SUM($D$57:$D$66)=0),"",2.13+$E$55/SUM($D$57:$D$66))</f>
        <v>27.8805541871921</v>
      </c>
    </row>
    <row r="58" customFormat="false" ht="15" hidden="false" customHeight="false" outlineLevel="0" collapsed="false">
      <c r="A58" s="0" t="n">
        <v>2</v>
      </c>
      <c r="B58" s="19"/>
      <c r="C58" s="19"/>
      <c r="D58" s="20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9"/>
      <c r="C59" s="19"/>
      <c r="D59" s="20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9"/>
      <c r="C60" s="19"/>
      <c r="D60" s="20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9"/>
      <c r="C61" s="19"/>
      <c r="D61" s="20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9"/>
      <c r="C62" s="19"/>
      <c r="D62" s="20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9"/>
      <c r="C63" s="19"/>
      <c r="D63" s="20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9"/>
      <c r="C64" s="19"/>
      <c r="D64" s="20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9"/>
      <c r="C65" s="19"/>
      <c r="D65" s="20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9"/>
      <c r="C66" s="19"/>
      <c r="D66" s="20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8.12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1"/>
    <col collapsed="false" customWidth="true" hidden="false" outlineLevel="0" max="15" min="15" style="0" width="18"/>
    <col collapsed="false" customWidth="true" hidden="false" outlineLevel="0" max="16" min="16" style="0" width="11"/>
  </cols>
  <sheetData>
    <row r="1" customFormat="false" ht="16.15" hidden="false" customHeight="false" outlineLevel="0" collapsed="false">
      <c r="A1" s="22" t="s">
        <v>91</v>
      </c>
      <c r="O1" s="5" t="s">
        <v>92</v>
      </c>
      <c r="P1" s="14" t="n">
        <f aca="false">Mon!E55+Tue!E55+Wed!E55+Thu!E55+Fri!E55+Sat!E55+Sun!E55</f>
        <v>1627.5105</v>
      </c>
    </row>
    <row r="2" customFormat="false" ht="15" hidden="false" customHeight="false" outlineLevel="0" collapsed="false">
      <c r="A2" s="0" t="s">
        <v>93</v>
      </c>
      <c r="B2" s="7" t="n">
        <f aca="false">Setup!$B$3</f>
        <v>46300</v>
      </c>
      <c r="O2" s="5" t="s">
        <v>94</v>
      </c>
      <c r="P2" s="13" t="n">
        <f aca="false">Mon!D67+Tue!D67+Wed!D67+Thu!D67+Fri!D67+Sat!D67+Sun!D67</f>
        <v>92.02</v>
      </c>
    </row>
    <row r="3" customFormat="false" ht="15" hidden="false" customHeight="false" outlineLevel="0" collapsed="false">
      <c r="O3" s="6" t="s">
        <v>95</v>
      </c>
      <c r="P3" s="23" t="n">
        <f aca="false">IF(P2=0,0,2.13+P1/P2)</f>
        <v>19.8164866333406</v>
      </c>
    </row>
    <row r="4" customFormat="false" ht="23.85" hidden="false" customHeight="false" outlineLevel="0" collapsed="false">
      <c r="A4" s="12" t="s">
        <v>96</v>
      </c>
      <c r="B4" s="12" t="s">
        <v>32</v>
      </c>
      <c r="C4" s="12" t="s">
        <v>97</v>
      </c>
      <c r="D4" s="12" t="s">
        <v>98</v>
      </c>
      <c r="E4" s="12" t="s">
        <v>99</v>
      </c>
      <c r="F4" s="12" t="s">
        <v>100</v>
      </c>
      <c r="G4" s="12" t="s">
        <v>101</v>
      </c>
      <c r="H4" s="12" t="s">
        <v>102</v>
      </c>
      <c r="I4" s="12" t="s">
        <v>103</v>
      </c>
      <c r="J4" s="12" t="s">
        <v>104</v>
      </c>
      <c r="K4" s="12" t="s">
        <v>105</v>
      </c>
      <c r="L4" s="12" t="s">
        <v>106</v>
      </c>
    </row>
    <row r="5" customFormat="false" ht="15" hidden="false" customHeight="false" outlineLevel="0" collapsed="false">
      <c r="A5" s="0" t="s">
        <v>87</v>
      </c>
      <c r="B5" s="13" t="n">
        <f aca="false">SUMIF(Mon!$B$9:$B$67,$A5,Mon!$D$9:$D$67)+SUMIF(Tue!$B$9:$B$67,$A5,Tue!$D$9:$D$67)+SUMIF(Wed!$B$9:$B$67,$A5,Wed!$D$9:$D$67)+SUMIF(Thu!$B$9:$B$67,$A5,Thu!$D$9:$D$67)+SUMIF(Fri!$B$9:$B$67,$A5,Fri!$D$9:$D$67)+SUMIF(Sat!$B$9:$B$67,$A5,Sat!$D$9:$D$67)+SUMIF(Sun!$B$9:$B$67,$A5,Sun!$D$9:$D$67)</f>
        <v>6.25</v>
      </c>
      <c r="C5" s="14" t="n">
        <f aca="false">SUMIF(Mon!$B$9:$B$52,$A5,Mon!$M$9:$M$52)</f>
        <v>0</v>
      </c>
      <c r="D5" s="14" t="n">
        <f aca="false">SUMIF(Tue!$B$9:$B$52,$A5,Tue!$M$9:$M$52)</f>
        <v>0</v>
      </c>
      <c r="E5" s="14" t="n">
        <f aca="false">SUMIF(Wed!$B$9:$B$52,$A5,Wed!$M$9:$M$52)</f>
        <v>0</v>
      </c>
      <c r="F5" s="14" t="n">
        <f aca="false">SUMIF(Thu!$B$9:$B$52,$A5,Thu!$M$9:$M$52)</f>
        <v>0</v>
      </c>
      <c r="G5" s="14" t="n">
        <f aca="false">SUMIF(Fri!$B$9:$B$52,$A5,Fri!$M$9:$M$52)</f>
        <v>0</v>
      </c>
      <c r="H5" s="14" t="n">
        <f aca="false">SUMIF(Sat!$B$9:$B$52,$A5,Sat!$M$9:$M$52)</f>
        <v>40</v>
      </c>
      <c r="I5" s="14" t="n">
        <f aca="false">SUMIF(Sun!$B$9:$B$52,$A5,Sun!$M$9:$M$52)</f>
        <v>0</v>
      </c>
      <c r="J5" s="14" t="n">
        <f aca="false">SUM(C5:I5)+($P$3-2.13)*(SUMIF(Mon!$B$57:$B$66,$A5,Mon!$D$57:$D$66)+SUMIF(Tue!$B$57:$B$66,$A5,Tue!$D$57:$D$66)+SUMIF(Wed!$B$57:$B$66,$A5,Wed!$D$57:$D$66)+SUMIF(Thu!$B$57:$B$66,$A5,Thu!$D$57:$D$66)+SUMIF(Fri!$B$57:$B$66,$A5,Fri!$D$57:$D$66)+SUMIF(Sat!$B$57:$B$66,$A5,Sat!$D$57:$D$66)+SUMIF(Sun!$B$57:$B$66,$A5,Sun!$D$57:$D$66))</f>
        <v>40</v>
      </c>
      <c r="K5" s="14" t="n">
        <f aca="false">IF(B5=0,"",2.13+J5/B5)</f>
        <v>8.53</v>
      </c>
      <c r="L5" s="0" t="str">
        <f aca="false">IF(OR(A5="",B5=0),"",IF((2.13*B5+J5)/B5&gt;=Setup!$B$10,"OK","SHORTFALL"))</f>
        <v>OK</v>
      </c>
    </row>
    <row r="6" customFormat="false" ht="15" hidden="false" customHeight="false" outlineLevel="0" collapsed="false">
      <c r="A6" s="0" t="s">
        <v>82</v>
      </c>
      <c r="B6" s="13" t="n">
        <f aca="false">SUMIF(Mon!$B$9:$B$67,$A6,Mon!$D$9:$D$67)+SUMIF(Tue!$B$9:$B$67,$A6,Tue!$D$9:$D$67)+SUMIF(Wed!$B$9:$B$67,$A6,Wed!$D$9:$D$67)+SUMIF(Thu!$B$9:$B$67,$A6,Thu!$D$9:$D$67)+SUMIF(Fri!$B$9:$B$67,$A6,Fri!$D$9:$D$67)+SUMIF(Sat!$B$9:$B$67,$A6,Sat!$D$9:$D$67)+SUMIF(Sun!$B$9:$B$67,$A6,Sun!$D$9:$D$67)</f>
        <v>15.46</v>
      </c>
      <c r="C6" s="14" t="n">
        <f aca="false">SUMIF(Mon!$B$9:$B$52,$A6,Mon!$M$9:$M$52)</f>
        <v>0</v>
      </c>
      <c r="D6" s="14" t="n">
        <f aca="false">SUMIF(Tue!$B$9:$B$52,$A6,Tue!$M$9:$M$52)</f>
        <v>0</v>
      </c>
      <c r="E6" s="14" t="n">
        <f aca="false">SUMIF(Wed!$B$9:$B$52,$A6,Wed!$M$9:$M$52)</f>
        <v>0</v>
      </c>
      <c r="F6" s="14" t="n">
        <f aca="false">SUMIF(Thu!$B$9:$B$52,$A6,Thu!$M$9:$M$52)</f>
        <v>0</v>
      </c>
      <c r="G6" s="14" t="n">
        <f aca="false">SUMIF(Fri!$B$9:$B$52,$A6,Fri!$M$9:$M$52)</f>
        <v>0</v>
      </c>
      <c r="H6" s="14" t="n">
        <f aca="false">SUMIF(Sat!$B$9:$B$52,$A6,Sat!$M$9:$M$52)</f>
        <v>0</v>
      </c>
      <c r="I6" s="14" t="n">
        <f aca="false">SUMIF(Sun!$B$9:$B$52,$A6,Sun!$M$9:$M$52)</f>
        <v>0</v>
      </c>
      <c r="J6" s="14" t="n">
        <f aca="false">SUM(C6:I6)+($P$3-2.13)*(SUMIF(Mon!$B$57:$B$66,$A6,Mon!$D$57:$D$66)+SUMIF(Tue!$B$57:$B$66,$A6,Tue!$D$57:$D$66)+SUMIF(Wed!$B$57:$B$66,$A6,Wed!$D$57:$D$66)+SUMIF(Thu!$B$57:$B$66,$A6,Thu!$D$57:$D$66)+SUMIF(Fri!$B$57:$B$66,$A6,Fri!$D$57:$D$66)+SUMIF(Sat!$B$57:$B$66,$A6,Sat!$D$57:$D$66)+SUMIF(Sun!$B$57:$B$66,$A6,Sun!$D$57:$D$66))</f>
        <v>273.433083351445</v>
      </c>
      <c r="K6" s="14" t="n">
        <f aca="false">IF(B6=0,"",2.13+J6/B6)</f>
        <v>19.8164866333406</v>
      </c>
      <c r="L6" s="0" t="str">
        <f aca="false">IF(OR(A6="",B6=0),"",IF((2.13*B6+J6)/B6&gt;=Setup!$B$10,"OK","SHORTFALL"))</f>
        <v>OK</v>
      </c>
    </row>
    <row r="7" customFormat="false" ht="15" hidden="false" customHeight="false" outlineLevel="0" collapsed="false">
      <c r="A7" s="0" t="s">
        <v>49</v>
      </c>
      <c r="B7" s="13" t="n">
        <f aca="false">SUMIF(Mon!$B$9:$B$67,$A7,Mon!$D$9:$D$67)+SUMIF(Tue!$B$9:$B$67,$A7,Tue!$D$9:$D$67)+SUMIF(Wed!$B$9:$B$67,$A7,Wed!$D$9:$D$67)+SUMIF(Thu!$B$9:$B$67,$A7,Thu!$D$9:$D$67)+SUMIF(Fri!$B$9:$B$67,$A7,Fri!$D$9:$D$67)+SUMIF(Sat!$B$9:$B$67,$A7,Sat!$D$9:$D$67)+SUMIF(Sun!$B$9:$B$67,$A7,Sun!$D$9:$D$67)</f>
        <v>13.64</v>
      </c>
      <c r="C7" s="14" t="n">
        <f aca="false">SUMIF(Mon!$B$9:$B$52,$A7,Mon!$M$9:$M$52)</f>
        <v>0</v>
      </c>
      <c r="D7" s="14" t="n">
        <f aca="false">SUMIF(Tue!$B$9:$B$52,$A7,Tue!$M$9:$M$52)</f>
        <v>0</v>
      </c>
      <c r="E7" s="14" t="n">
        <f aca="false">SUMIF(Wed!$B$9:$B$52,$A7,Wed!$M$9:$M$52)</f>
        <v>0</v>
      </c>
      <c r="F7" s="14" t="n">
        <f aca="false">SUMIF(Thu!$B$9:$B$52,$A7,Thu!$M$9:$M$52)</f>
        <v>0</v>
      </c>
      <c r="G7" s="14" t="n">
        <f aca="false">SUMIF(Fri!$B$9:$B$52,$A7,Fri!$M$9:$M$52)</f>
        <v>0</v>
      </c>
      <c r="H7" s="14" t="n">
        <f aca="false">SUMIF(Sat!$B$9:$B$52,$A7,Sat!$M$9:$M$52)</f>
        <v>534.895094444445</v>
      </c>
      <c r="I7" s="14" t="n">
        <f aca="false">SUMIF(Sun!$B$9:$B$52,$A7,Sun!$M$9:$M$52)</f>
        <v>0</v>
      </c>
      <c r="J7" s="14" t="n">
        <f aca="false">SUM(C7:I7)+($P$3-2.13)*(SUMIF(Mon!$B$57:$B$66,$A7,Mon!$D$57:$D$66)+SUMIF(Tue!$B$57:$B$66,$A7,Tue!$D$57:$D$66)+SUMIF(Wed!$B$57:$B$66,$A7,Wed!$D$57:$D$66)+SUMIF(Thu!$B$57:$B$66,$A7,Thu!$D$57:$D$66)+SUMIF(Fri!$B$57:$B$66,$A7,Fri!$D$57:$D$66)+SUMIF(Sat!$B$57:$B$66,$A7,Sat!$D$57:$D$66)+SUMIF(Sun!$B$57:$B$66,$A7,Sun!$D$57:$D$66))</f>
        <v>534.895094444445</v>
      </c>
      <c r="K7" s="14" t="n">
        <f aca="false">IF(B7=0,"",2.13+J7/B7)</f>
        <v>41.3451828771587</v>
      </c>
      <c r="L7" s="0" t="str">
        <f aca="false">IF(OR(A7="",B7=0),"",IF((2.13*B7+J7)/B7&gt;=Setup!$B$10,"OK","SHORTFALL"))</f>
        <v>OK</v>
      </c>
    </row>
    <row r="8" customFormat="false" ht="15" hidden="false" customHeight="false" outlineLevel="0" collapsed="false">
      <c r="A8" s="0" t="s">
        <v>73</v>
      </c>
      <c r="B8" s="13" t="n">
        <f aca="false">SUMIF(Mon!$B$9:$B$67,$A8,Mon!$D$9:$D$67)+SUMIF(Tue!$B$9:$B$67,$A8,Tue!$D$9:$D$67)+SUMIF(Wed!$B$9:$B$67,$A8,Wed!$D$9:$D$67)+SUMIF(Thu!$B$9:$B$67,$A8,Thu!$D$9:$D$67)+SUMIF(Fri!$B$9:$B$67,$A8,Fri!$D$9:$D$67)+SUMIF(Sat!$B$9:$B$67,$A8,Sat!$D$9:$D$67)+SUMIF(Sun!$B$9:$B$67,$A8,Sun!$D$9:$D$67)</f>
        <v>13.97</v>
      </c>
      <c r="C8" s="14" t="n">
        <f aca="false">SUMIF(Mon!$B$9:$B$52,$A8,Mon!$M$9:$M$52)</f>
        <v>0</v>
      </c>
      <c r="D8" s="14" t="n">
        <f aca="false">SUMIF(Tue!$B$9:$B$52,$A8,Tue!$M$9:$M$52)</f>
        <v>0</v>
      </c>
      <c r="E8" s="14" t="n">
        <f aca="false">SUMIF(Wed!$B$9:$B$52,$A8,Wed!$M$9:$M$52)</f>
        <v>0</v>
      </c>
      <c r="F8" s="14" t="n">
        <f aca="false">SUMIF(Thu!$B$9:$B$52,$A8,Thu!$M$9:$M$52)</f>
        <v>0</v>
      </c>
      <c r="G8" s="14" t="n">
        <f aca="false">SUMIF(Fri!$B$9:$B$52,$A8,Fri!$M$9:$M$52)</f>
        <v>271.785</v>
      </c>
      <c r="H8" s="14" t="n">
        <f aca="false">SUMIF(Sat!$B$9:$B$52,$A8,Sat!$M$9:$M$52)</f>
        <v>441.14</v>
      </c>
      <c r="I8" s="14" t="n">
        <f aca="false">SUMIF(Sun!$B$9:$B$52,$A8,Sun!$M$9:$M$52)</f>
        <v>0</v>
      </c>
      <c r="J8" s="14" t="n">
        <f aca="false">SUM(C8:I8)+($P$3-2.13)*(SUMIF(Mon!$B$57:$B$66,$A8,Mon!$D$57:$D$66)+SUMIF(Tue!$B$57:$B$66,$A8,Tue!$D$57:$D$66)+SUMIF(Wed!$B$57:$B$66,$A8,Wed!$D$57:$D$66)+SUMIF(Thu!$B$57:$B$66,$A8,Thu!$D$57:$D$66)+SUMIF(Fri!$B$57:$B$66,$A8,Fri!$D$57:$D$66)+SUMIF(Sat!$B$57:$B$66,$A8,Sat!$D$57:$D$66)+SUMIF(Sun!$B$57:$B$66,$A8,Sun!$D$57:$D$66))</f>
        <v>712.925</v>
      </c>
      <c r="K8" s="14" t="n">
        <f aca="false">IF(B8=0,"",2.13+J8/B8)</f>
        <v>53.1625697924123</v>
      </c>
      <c r="L8" s="0" t="str">
        <f aca="false">IF(OR(A8="",B8=0),"",IF((2.13*B8+J8)/B8&gt;=Setup!$B$10,"OK","SHORTFALL"))</f>
        <v>OK</v>
      </c>
    </row>
    <row r="9" customFormat="false" ht="15" hidden="false" customHeight="false" outlineLevel="0" collapsed="false">
      <c r="A9" s="0" t="s">
        <v>81</v>
      </c>
      <c r="B9" s="13" t="n">
        <f aca="false">SUMIF(Mon!$B$9:$B$67,$A9,Mon!$D$9:$D$67)+SUMIF(Tue!$B$9:$B$67,$A9,Tue!$D$9:$D$67)+SUMIF(Wed!$B$9:$B$67,$A9,Wed!$D$9:$D$67)+SUMIF(Thu!$B$9:$B$67,$A9,Thu!$D$9:$D$67)+SUMIF(Fri!$B$9:$B$67,$A9,Fri!$D$9:$D$67)+SUMIF(Sat!$B$9:$B$67,$A9,Sat!$D$9:$D$67)+SUMIF(Sun!$B$9:$B$67,$A9,Sun!$D$9:$D$67)</f>
        <v>20.48</v>
      </c>
      <c r="C9" s="14" t="n">
        <f aca="false">SUMIF(Mon!$B$9:$B$52,$A9,Mon!$M$9:$M$52)</f>
        <v>0</v>
      </c>
      <c r="D9" s="14" t="n">
        <f aca="false">SUMIF(Tue!$B$9:$B$52,$A9,Tue!$M$9:$M$52)</f>
        <v>0</v>
      </c>
      <c r="E9" s="14" t="n">
        <f aca="false">SUMIF(Wed!$B$9:$B$52,$A9,Wed!$M$9:$M$52)</f>
        <v>0</v>
      </c>
      <c r="F9" s="14" t="n">
        <f aca="false">SUMIF(Thu!$B$9:$B$52,$A9,Thu!$M$9:$M$52)</f>
        <v>0</v>
      </c>
      <c r="G9" s="14" t="n">
        <f aca="false">SUMIF(Fri!$B$9:$B$52,$A9,Fri!$M$9:$M$52)</f>
        <v>0</v>
      </c>
      <c r="H9" s="14" t="n">
        <f aca="false">SUMIF(Sat!$B$9:$B$52,$A9,Sat!$M$9:$M$52)</f>
        <v>0</v>
      </c>
      <c r="I9" s="14" t="n">
        <f aca="false">SUMIF(Sun!$B$9:$B$52,$A9,Sun!$M$9:$M$52)</f>
        <v>0</v>
      </c>
      <c r="J9" s="14" t="n">
        <f aca="false">SUM(C9:I9)+($P$3-2.13)*(SUMIF(Mon!$B$57:$B$66,$A9,Mon!$D$57:$D$66)+SUMIF(Tue!$B$57:$B$66,$A9,Tue!$D$57:$D$66)+SUMIF(Wed!$B$57:$B$66,$A9,Wed!$D$57:$D$66)+SUMIF(Thu!$B$57:$B$66,$A9,Thu!$D$57:$D$66)+SUMIF(Fri!$B$57:$B$66,$A9,Fri!$D$57:$D$66)+SUMIF(Sat!$B$57:$B$66,$A9,Sat!$D$57:$D$66)+SUMIF(Sun!$B$57:$B$66,$A9,Sun!$D$57:$D$66))</f>
        <v>362.219246250815</v>
      </c>
      <c r="K9" s="14" t="n">
        <f aca="false">IF(B9=0,"",2.13+J9/B9)</f>
        <v>19.8164866333406</v>
      </c>
      <c r="L9" s="0" t="str">
        <f aca="false">IF(OR(A9="",B9=0),"",IF((2.13*B9+J9)/B9&gt;=Setup!$B$10,"OK","SHORTFALL"))</f>
        <v>OK</v>
      </c>
    </row>
    <row r="10" customFormat="false" ht="15" hidden="false" customHeight="false" outlineLevel="0" collapsed="false">
      <c r="A10" s="0" t="s">
        <v>64</v>
      </c>
      <c r="B10" s="13" t="n">
        <f aca="false">SUMIF(Mon!$B$9:$B$67,$A10,Mon!$D$9:$D$67)+SUMIF(Tue!$B$9:$B$67,$A10,Tue!$D$9:$D$67)+SUMIF(Wed!$B$9:$B$67,$A10,Wed!$D$9:$D$67)+SUMIF(Thu!$B$9:$B$67,$A10,Thu!$D$9:$D$67)+SUMIF(Fri!$B$9:$B$67,$A10,Fri!$D$9:$D$67)+SUMIF(Sat!$B$9:$B$67,$A10,Sat!$D$9:$D$67)+SUMIF(Sun!$B$9:$B$67,$A10,Sun!$D$9:$D$67)</f>
        <v>7.15</v>
      </c>
      <c r="C10" s="14" t="n">
        <f aca="false">SUMIF(Mon!$B$9:$B$52,$A10,Mon!$M$9:$M$52)</f>
        <v>0</v>
      </c>
      <c r="D10" s="14" t="n">
        <f aca="false">SUMIF(Tue!$B$9:$B$52,$A10,Tue!$M$9:$M$52)</f>
        <v>2982.5335</v>
      </c>
      <c r="E10" s="14" t="n">
        <f aca="false">SUMIF(Wed!$B$9:$B$52,$A10,Wed!$M$9:$M$52)</f>
        <v>0</v>
      </c>
      <c r="F10" s="14" t="n">
        <f aca="false">SUMIF(Thu!$B$9:$B$52,$A10,Thu!$M$9:$M$52)</f>
        <v>0</v>
      </c>
      <c r="G10" s="14" t="n">
        <f aca="false">SUMIF(Fri!$B$9:$B$52,$A10,Fri!$M$9:$M$52)</f>
        <v>0</v>
      </c>
      <c r="H10" s="14" t="n">
        <f aca="false">SUMIF(Sat!$B$9:$B$52,$A10,Sat!$M$9:$M$52)</f>
        <v>0</v>
      </c>
      <c r="I10" s="14" t="n">
        <f aca="false">SUMIF(Sun!$B$9:$B$52,$A10,Sun!$M$9:$M$52)</f>
        <v>0</v>
      </c>
      <c r="J10" s="14" t="n">
        <f aca="false">SUM(C10:I10)+($P$3-2.13)*(SUMIF(Mon!$B$57:$B$66,$A10,Mon!$D$57:$D$66)+SUMIF(Tue!$B$57:$B$66,$A10,Tue!$D$57:$D$66)+SUMIF(Wed!$B$57:$B$66,$A10,Wed!$D$57:$D$66)+SUMIF(Thu!$B$57:$B$66,$A10,Thu!$D$57:$D$66)+SUMIF(Fri!$B$57:$B$66,$A10,Fri!$D$57:$D$66)+SUMIF(Sat!$B$57:$B$66,$A10,Sat!$D$57:$D$66)+SUMIF(Sun!$B$57:$B$66,$A10,Sun!$D$57:$D$66))</f>
        <v>2982.5335</v>
      </c>
      <c r="K10" s="14" t="n">
        <f aca="false">IF(B10=0,"",2.13+J10/B10)</f>
        <v>419.267552447552</v>
      </c>
      <c r="L10" s="0" t="str">
        <f aca="false">IF(OR(A10="",B10=0),"",IF((2.13*B10+J10)/B10&gt;=Setup!$B$10,"OK","SHORTFALL"))</f>
        <v>OK</v>
      </c>
    </row>
    <row r="11" customFormat="false" ht="15" hidden="false" customHeight="false" outlineLevel="0" collapsed="false">
      <c r="A11" s="0" t="s">
        <v>69</v>
      </c>
      <c r="B11" s="13" t="n">
        <f aca="false">SUMIF(Mon!$B$9:$B$67,$A11,Mon!$D$9:$D$67)+SUMIF(Tue!$B$9:$B$67,$A11,Tue!$D$9:$D$67)+SUMIF(Wed!$B$9:$B$67,$A11,Wed!$D$9:$D$67)+SUMIF(Thu!$B$9:$B$67,$A11,Thu!$D$9:$D$67)+SUMIF(Fri!$B$9:$B$67,$A11,Fri!$D$9:$D$67)+SUMIF(Sat!$B$9:$B$67,$A11,Sat!$D$9:$D$67)+SUMIF(Sun!$B$9:$B$67,$A11,Sun!$D$9:$D$67)</f>
        <v>2.59</v>
      </c>
      <c r="C11" s="14" t="n">
        <f aca="false">SUMIF(Mon!$B$9:$B$52,$A11,Mon!$M$9:$M$52)</f>
        <v>0</v>
      </c>
      <c r="D11" s="14" t="n">
        <f aca="false">SUMIF(Tue!$B$9:$B$52,$A11,Tue!$M$9:$M$52)</f>
        <v>0</v>
      </c>
      <c r="E11" s="14" t="n">
        <f aca="false">SUMIF(Wed!$B$9:$B$52,$A11,Wed!$M$9:$M$52)</f>
        <v>0</v>
      </c>
      <c r="F11" s="14" t="n">
        <f aca="false">SUMIF(Thu!$B$9:$B$52,$A11,Thu!$M$9:$M$52)</f>
        <v>0</v>
      </c>
      <c r="G11" s="14" t="n">
        <f aca="false">SUMIF(Fri!$B$9:$B$52,$A11,Fri!$M$9:$M$52)</f>
        <v>0</v>
      </c>
      <c r="H11" s="14" t="n">
        <f aca="false">SUMIF(Sat!$B$9:$B$52,$A11,Sat!$M$9:$M$52)</f>
        <v>0</v>
      </c>
      <c r="I11" s="14" t="n">
        <f aca="false">SUMIF(Sun!$B$9:$B$52,$A11,Sun!$M$9:$M$52)</f>
        <v>0</v>
      </c>
      <c r="J11" s="14" t="n">
        <f aca="false">SUM(C11:I11)+($P$3-2.13)*(SUMIF(Mon!$B$57:$B$66,$A11,Mon!$D$57:$D$66)+SUMIF(Tue!$B$57:$B$66,$A11,Tue!$D$57:$D$66)+SUMIF(Wed!$B$57:$B$66,$A11,Wed!$D$57:$D$66)+SUMIF(Thu!$B$57:$B$66,$A11,Thu!$D$57:$D$66)+SUMIF(Fri!$B$57:$B$66,$A11,Fri!$D$57:$D$66)+SUMIF(Sat!$B$57:$B$66,$A11,Sat!$D$57:$D$66)+SUMIF(Sun!$B$57:$B$66,$A11,Sun!$D$57:$D$66))</f>
        <v>0</v>
      </c>
      <c r="K11" s="14" t="n">
        <f aca="false">IF(B11=0,"",2.13+J11/B11)</f>
        <v>2.13</v>
      </c>
      <c r="L11" s="0" t="str">
        <f aca="false">IF(OR(A11="",B11=0),"",IF((2.13*B11+J11)/B11&gt;=Setup!$B$10,"OK","SHORTFALL"))</f>
        <v>SHORTFALL</v>
      </c>
    </row>
    <row r="12" customFormat="false" ht="15" hidden="false" customHeight="false" outlineLevel="0" collapsed="false">
      <c r="A12" s="0" t="s">
        <v>77</v>
      </c>
      <c r="B12" s="13" t="n">
        <f aca="false">SUMIF(Mon!$B$9:$B$67,$A12,Mon!$D$9:$D$67)+SUMIF(Tue!$B$9:$B$67,$A12,Tue!$D$9:$D$67)+SUMIF(Wed!$B$9:$B$67,$A12,Wed!$D$9:$D$67)+SUMIF(Thu!$B$9:$B$67,$A12,Thu!$D$9:$D$67)+SUMIF(Fri!$B$9:$B$67,$A12,Fri!$D$9:$D$67)+SUMIF(Sat!$B$9:$B$67,$A12,Sat!$D$9:$D$67)+SUMIF(Sun!$B$9:$B$67,$A12,Sun!$D$9:$D$67)</f>
        <v>17.23</v>
      </c>
      <c r="C12" s="14" t="n">
        <f aca="false">SUMIF(Mon!$B$9:$B$52,$A12,Mon!$M$9:$M$52)</f>
        <v>0</v>
      </c>
      <c r="D12" s="14" t="n">
        <f aca="false">SUMIF(Tue!$B$9:$B$52,$A12,Tue!$M$9:$M$52)</f>
        <v>0</v>
      </c>
      <c r="E12" s="14" t="n">
        <f aca="false">SUMIF(Wed!$B$9:$B$52,$A12,Wed!$M$9:$M$52)</f>
        <v>0</v>
      </c>
      <c r="F12" s="14" t="n">
        <f aca="false">SUMIF(Thu!$B$9:$B$52,$A12,Thu!$M$9:$M$52)</f>
        <v>0</v>
      </c>
      <c r="G12" s="14" t="n">
        <f aca="false">SUMIF(Fri!$B$9:$B$52,$A12,Fri!$M$9:$M$52)</f>
        <v>161.1195</v>
      </c>
      <c r="H12" s="14" t="n">
        <f aca="false">SUMIF(Sat!$B$9:$B$52,$A12,Sat!$M$9:$M$52)</f>
        <v>233.7375</v>
      </c>
      <c r="I12" s="14" t="n">
        <f aca="false">SUMIF(Sun!$B$9:$B$52,$A12,Sun!$M$9:$M$52)</f>
        <v>181.108</v>
      </c>
      <c r="J12" s="14" t="n">
        <f aca="false">SUM(C12:I12)+($P$3-2.13)*(SUMIF(Mon!$B$57:$B$66,$A12,Mon!$D$57:$D$66)+SUMIF(Tue!$B$57:$B$66,$A12,Tue!$D$57:$D$66)+SUMIF(Wed!$B$57:$B$66,$A12,Wed!$D$57:$D$66)+SUMIF(Thu!$B$57:$B$66,$A12,Thu!$D$57:$D$66)+SUMIF(Fri!$B$57:$B$66,$A12,Fri!$D$57:$D$66)+SUMIF(Sat!$B$57:$B$66,$A12,Sat!$D$57:$D$66)+SUMIF(Sun!$B$57:$B$66,$A12,Sun!$D$57:$D$66))</f>
        <v>575.965</v>
      </c>
      <c r="K12" s="14" t="n">
        <f aca="false">IF(B12=0,"",2.13+J12/B12)</f>
        <v>35.558032501451</v>
      </c>
      <c r="L12" s="0" t="str">
        <f aca="false">IF(OR(A12="",B12=0),"",IF((2.13*B12+J12)/B12&gt;=Setup!$B$10,"OK","SHORTFALL"))</f>
        <v>OK</v>
      </c>
    </row>
    <row r="13" customFormat="false" ht="15" hidden="false" customHeight="false" outlineLevel="0" collapsed="false">
      <c r="A13" s="0" t="s">
        <v>63</v>
      </c>
      <c r="B13" s="13" t="n">
        <f aca="false">SUMIF(Mon!$B$9:$B$67,$A13,Mon!$D$9:$D$67)+SUMIF(Tue!$B$9:$B$67,$A13,Tue!$D$9:$D$67)+SUMIF(Wed!$B$9:$B$67,$A13,Wed!$D$9:$D$67)+SUMIF(Thu!$B$9:$B$67,$A13,Thu!$D$9:$D$67)+SUMIF(Fri!$B$9:$B$67,$A13,Fri!$D$9:$D$67)+SUMIF(Sat!$B$9:$B$67,$A13,Sat!$D$9:$D$67)+SUMIF(Sun!$B$9:$B$67,$A13,Sun!$D$9:$D$67)</f>
        <v>36.97</v>
      </c>
      <c r="C13" s="14" t="n">
        <f aca="false">SUMIF(Mon!$B$9:$B$52,$A13,Mon!$M$9:$M$52)</f>
        <v>0</v>
      </c>
      <c r="D13" s="14" t="n">
        <f aca="false">SUMIF(Tue!$B$9:$B$52,$A13,Tue!$M$9:$M$52)</f>
        <v>17.122</v>
      </c>
      <c r="E13" s="14" t="n">
        <f aca="false">SUMIF(Wed!$B$9:$B$52,$A13,Wed!$M$9:$M$52)</f>
        <v>0</v>
      </c>
      <c r="F13" s="14" t="n">
        <f aca="false">SUMIF(Thu!$B$9:$B$52,$A13,Thu!$M$9:$M$52)</f>
        <v>0</v>
      </c>
      <c r="G13" s="14" t="n">
        <f aca="false">SUMIF(Fri!$B$9:$B$52,$A13,Fri!$M$9:$M$52)</f>
        <v>120.070163954944</v>
      </c>
      <c r="H13" s="14" t="n">
        <f aca="false">SUMIF(Sat!$B$9:$B$52,$A13,Sat!$M$9:$M$52)</f>
        <v>450.244265277778</v>
      </c>
      <c r="I13" s="14" t="n">
        <f aca="false">SUMIF(Sun!$B$9:$B$52,$A13,Sun!$M$9:$M$52)</f>
        <v>46.5094757505774</v>
      </c>
      <c r="J13" s="14" t="n">
        <f aca="false">SUM(C13:I13)+($P$3-2.13)*(SUMIF(Mon!$B$57:$B$66,$A13,Mon!$D$57:$D$66)+SUMIF(Tue!$B$57:$B$66,$A13,Tue!$D$57:$D$66)+SUMIF(Wed!$B$57:$B$66,$A13,Wed!$D$57:$D$66)+SUMIF(Thu!$B$57:$B$66,$A13,Thu!$D$57:$D$66)+SUMIF(Fri!$B$57:$B$66,$A13,Fri!$D$57:$D$66)+SUMIF(Sat!$B$57:$B$66,$A13,Sat!$D$57:$D$66)+SUMIF(Sun!$B$57:$B$66,$A13,Sun!$D$57:$D$66))</f>
        <v>755.098338421682</v>
      </c>
      <c r="K13" s="14" t="n">
        <f aca="false">IF(B13=0,"",2.13+J13/B13)</f>
        <v>22.5546237062938</v>
      </c>
      <c r="L13" s="0" t="str">
        <f aca="false">IF(OR(A13="",B13=0),"",IF((2.13*B13+J13)/B13&gt;=Setup!$B$10,"OK","SHORTFALL"))</f>
        <v>OK</v>
      </c>
    </row>
    <row r="14" customFormat="false" ht="15" hidden="false" customHeight="false" outlineLevel="0" collapsed="false">
      <c r="A14" s="0" t="s">
        <v>79</v>
      </c>
      <c r="B14" s="13" t="n">
        <f aca="false">SUMIF(Mon!$B$9:$B$67,$A14,Mon!$D$9:$D$67)+SUMIF(Tue!$B$9:$B$67,$A14,Tue!$D$9:$D$67)+SUMIF(Wed!$B$9:$B$67,$A14,Wed!$D$9:$D$67)+SUMIF(Thu!$B$9:$B$67,$A14,Thu!$D$9:$D$67)+SUMIF(Fri!$B$9:$B$67,$A14,Fri!$D$9:$D$67)+SUMIF(Sat!$B$9:$B$67,$A14,Sat!$D$9:$D$67)+SUMIF(Sun!$B$9:$B$67,$A14,Sun!$D$9:$D$67)</f>
        <v>16.85</v>
      </c>
      <c r="C14" s="14" t="n">
        <f aca="false">SUMIF(Mon!$B$9:$B$52,$A14,Mon!$M$9:$M$52)</f>
        <v>0</v>
      </c>
      <c r="D14" s="14" t="n">
        <f aca="false">SUMIF(Tue!$B$9:$B$52,$A14,Tue!$M$9:$M$52)</f>
        <v>0</v>
      </c>
      <c r="E14" s="14" t="n">
        <f aca="false">SUMIF(Wed!$B$9:$B$52,$A14,Wed!$M$9:$M$52)</f>
        <v>0</v>
      </c>
      <c r="F14" s="14" t="n">
        <f aca="false">SUMIF(Thu!$B$9:$B$52,$A14,Thu!$M$9:$M$52)</f>
        <v>0</v>
      </c>
      <c r="G14" s="14" t="n">
        <f aca="false">SUMIF(Fri!$B$9:$B$52,$A14,Fri!$M$9:$M$52)</f>
        <v>170.750667083855</v>
      </c>
      <c r="H14" s="14" t="n">
        <f aca="false">SUMIF(Sat!$B$9:$B$52,$A14,Sat!$M$9:$M$52)</f>
        <v>591.328980555556</v>
      </c>
      <c r="I14" s="14" t="n">
        <f aca="false">SUMIF(Sun!$B$9:$B$52,$A14,Sun!$M$9:$M$52)</f>
        <v>0</v>
      </c>
      <c r="J14" s="14" t="n">
        <f aca="false">SUM(C14:I14)+($P$3-2.13)*(SUMIF(Mon!$B$57:$B$66,$A14,Mon!$D$57:$D$66)+SUMIF(Tue!$B$57:$B$66,$A14,Tue!$D$57:$D$66)+SUMIF(Wed!$B$57:$B$66,$A14,Wed!$D$57:$D$66)+SUMIF(Thu!$B$57:$B$66,$A14,Thu!$D$57:$D$66)+SUMIF(Fri!$B$57:$B$66,$A14,Fri!$D$57:$D$66)+SUMIF(Sat!$B$57:$B$66,$A14,Sat!$D$57:$D$66)+SUMIF(Sun!$B$57:$B$66,$A14,Sun!$D$57:$D$66))</f>
        <v>762.07964763941</v>
      </c>
      <c r="K14" s="14" t="n">
        <f aca="false">IF(B14=0,"",2.13+J14/B14)</f>
        <v>47.3572787916564</v>
      </c>
      <c r="L14" s="0" t="str">
        <f aca="false">IF(OR(A14="",B14=0),"",IF((2.13*B14+J14)/B14&gt;=Setup!$B$10,"OK","SHORTFALL"))</f>
        <v>OK</v>
      </c>
    </row>
    <row r="15" customFormat="false" ht="15" hidden="false" customHeight="false" outlineLevel="0" collapsed="false">
      <c r="A15" s="0" t="s">
        <v>78</v>
      </c>
      <c r="B15" s="13" t="n">
        <f aca="false">SUMIF(Mon!$B$9:$B$67,$A15,Mon!$D$9:$D$67)+SUMIF(Tue!$B$9:$B$67,$A15,Tue!$D$9:$D$67)+SUMIF(Wed!$B$9:$B$67,$A15,Wed!$D$9:$D$67)+SUMIF(Thu!$B$9:$B$67,$A15,Thu!$D$9:$D$67)+SUMIF(Fri!$B$9:$B$67,$A15,Fri!$D$9:$D$67)+SUMIF(Sat!$B$9:$B$67,$A15,Sat!$D$9:$D$67)+SUMIF(Sun!$B$9:$B$67,$A15,Sun!$D$9:$D$67)</f>
        <v>19.69</v>
      </c>
      <c r="C15" s="14" t="n">
        <f aca="false">SUMIF(Mon!$B$9:$B$52,$A15,Mon!$M$9:$M$52)</f>
        <v>0</v>
      </c>
      <c r="D15" s="14" t="n">
        <f aca="false">SUMIF(Tue!$B$9:$B$52,$A15,Tue!$M$9:$M$52)</f>
        <v>0</v>
      </c>
      <c r="E15" s="14" t="n">
        <f aca="false">SUMIF(Wed!$B$9:$B$52,$A15,Wed!$M$9:$M$52)</f>
        <v>0</v>
      </c>
      <c r="F15" s="14" t="n">
        <f aca="false">SUMIF(Thu!$B$9:$B$52,$A15,Thu!$M$9:$M$52)</f>
        <v>0</v>
      </c>
      <c r="G15" s="14" t="n">
        <f aca="false">SUMIF(Fri!$B$9:$B$52,$A15,Fri!$M$9:$M$52)</f>
        <v>200.894634543179</v>
      </c>
      <c r="H15" s="14" t="n">
        <f aca="false">SUMIF(Sat!$B$9:$B$52,$A15,Sat!$M$9:$M$52)</f>
        <v>356.0955</v>
      </c>
      <c r="I15" s="14" t="n">
        <f aca="false">SUMIF(Sun!$B$9:$B$52,$A15,Sun!$M$9:$M$52)</f>
        <v>14.3896720554273</v>
      </c>
      <c r="J15" s="14" t="n">
        <f aca="false">SUM(C15:I15)+($P$3-2.13)*(SUMIF(Mon!$B$57:$B$66,$A15,Mon!$D$57:$D$66)+SUMIF(Tue!$B$57:$B$66,$A15,Tue!$D$57:$D$66)+SUMIF(Wed!$B$57:$B$66,$A15,Wed!$D$57:$D$66)+SUMIF(Thu!$B$57:$B$66,$A15,Thu!$D$57:$D$66)+SUMIF(Fri!$B$57:$B$66,$A15,Fri!$D$57:$D$66)+SUMIF(Sat!$B$57:$B$66,$A15,Sat!$D$57:$D$66)+SUMIF(Sun!$B$57:$B$66,$A15,Sun!$D$57:$D$66))</f>
        <v>571.379806598606</v>
      </c>
      <c r="K15" s="14" t="n">
        <f aca="false">IF(B15=0,"",2.13+J15/B15)</f>
        <v>31.1487814422857</v>
      </c>
      <c r="L15" s="0" t="str">
        <f aca="false">IF(OR(A15="",B15=0),"",IF((2.13*B15+J15)/B15&gt;=Setup!$B$10,"OK","SHORTFALL"))</f>
        <v>OK</v>
      </c>
    </row>
    <row r="16" customFormat="false" ht="15" hidden="false" customHeight="false" outlineLevel="0" collapsed="false">
      <c r="A16" s="0" t="s">
        <v>75</v>
      </c>
      <c r="B16" s="13" t="n">
        <f aca="false">SUMIF(Mon!$B$9:$B$67,$A16,Mon!$D$9:$D$67)+SUMIF(Tue!$B$9:$B$67,$A16,Tue!$D$9:$D$67)+SUMIF(Wed!$B$9:$B$67,$A16,Wed!$D$9:$D$67)+SUMIF(Thu!$B$9:$B$67,$A16,Thu!$D$9:$D$67)+SUMIF(Fri!$B$9:$B$67,$A16,Fri!$D$9:$D$67)+SUMIF(Sat!$B$9:$B$67,$A16,Sat!$D$9:$D$67)+SUMIF(Sun!$B$9:$B$67,$A16,Sun!$D$9:$D$67)</f>
        <v>15.32</v>
      </c>
      <c r="C16" s="14" t="n">
        <f aca="false">SUMIF(Mon!$B$9:$B$52,$A16,Mon!$M$9:$M$52)</f>
        <v>0</v>
      </c>
      <c r="D16" s="14" t="n">
        <f aca="false">SUMIF(Tue!$B$9:$B$52,$A16,Tue!$M$9:$M$52)</f>
        <v>0</v>
      </c>
      <c r="E16" s="14" t="n">
        <f aca="false">SUMIF(Wed!$B$9:$B$52,$A16,Wed!$M$9:$M$52)</f>
        <v>0</v>
      </c>
      <c r="F16" s="14" t="n">
        <f aca="false">SUMIF(Thu!$B$9:$B$52,$A16,Thu!$M$9:$M$52)</f>
        <v>0</v>
      </c>
      <c r="G16" s="14" t="n">
        <f aca="false">SUMIF(Fri!$B$9:$B$52,$A16,Fri!$M$9:$M$52)</f>
        <v>221.395</v>
      </c>
      <c r="H16" s="14" t="n">
        <f aca="false">SUMIF(Sat!$B$9:$B$52,$A16,Sat!$M$9:$M$52)</f>
        <v>655.8705</v>
      </c>
      <c r="I16" s="14" t="n">
        <f aca="false">SUMIF(Sun!$B$9:$B$52,$A16,Sun!$M$9:$M$52)</f>
        <v>0</v>
      </c>
      <c r="J16" s="14" t="n">
        <f aca="false">SUM(C16:I16)+($P$3-2.13)*(SUMIF(Mon!$B$57:$B$66,$A16,Mon!$D$57:$D$66)+SUMIF(Tue!$B$57:$B$66,$A16,Tue!$D$57:$D$66)+SUMIF(Wed!$B$57:$B$66,$A16,Wed!$D$57:$D$66)+SUMIF(Thu!$B$57:$B$66,$A16,Thu!$D$57:$D$66)+SUMIF(Fri!$B$57:$B$66,$A16,Fri!$D$57:$D$66)+SUMIF(Sat!$B$57:$B$66,$A16,Sat!$D$57:$D$66)+SUMIF(Sun!$B$57:$B$66,$A16,Sun!$D$57:$D$66))</f>
        <v>877.2655</v>
      </c>
      <c r="K16" s="14" t="n">
        <f aca="false">IF(B16=0,"",2.13+J16/B16)</f>
        <v>59.3927610966058</v>
      </c>
      <c r="L16" s="0" t="str">
        <f aca="false">IF(OR(A16="",B16=0),"",IF((2.13*B16+J16)/B16&gt;=Setup!$B$10,"OK","SHORTFALL"))</f>
        <v>OK</v>
      </c>
    </row>
    <row r="17" customFormat="false" ht="15" hidden="false" customHeight="false" outlineLevel="0" collapsed="false">
      <c r="A17" s="0" t="s">
        <v>68</v>
      </c>
      <c r="B17" s="13" t="n">
        <f aca="false">SUMIF(Mon!$B$9:$B$67,$A17,Mon!$D$9:$D$67)+SUMIF(Tue!$B$9:$B$67,$A17,Tue!$D$9:$D$67)+SUMIF(Wed!$B$9:$B$67,$A17,Wed!$D$9:$D$67)+SUMIF(Thu!$B$9:$B$67,$A17,Thu!$D$9:$D$67)+SUMIF(Fri!$B$9:$B$67,$A17,Fri!$D$9:$D$67)+SUMIF(Sat!$B$9:$B$67,$A17,Sat!$D$9:$D$67)+SUMIF(Sun!$B$9:$B$67,$A17,Sun!$D$9:$D$67)</f>
        <v>30.17</v>
      </c>
      <c r="C17" s="14" t="n">
        <f aca="false">SUMIF(Mon!$B$9:$B$52,$A17,Mon!$M$9:$M$52)</f>
        <v>0</v>
      </c>
      <c r="D17" s="14" t="n">
        <f aca="false">SUMIF(Tue!$B$9:$B$52,$A17,Tue!$M$9:$M$52)</f>
        <v>0</v>
      </c>
      <c r="E17" s="14" t="n">
        <f aca="false">SUMIF(Wed!$B$9:$B$52,$A17,Wed!$M$9:$M$52)</f>
        <v>44.661</v>
      </c>
      <c r="F17" s="14" t="n">
        <f aca="false">SUMIF(Thu!$B$9:$B$52,$A17,Thu!$M$9:$M$52)</f>
        <v>86.9636910569106</v>
      </c>
      <c r="G17" s="14" t="n">
        <f aca="false">SUMIF(Fri!$B$9:$B$52,$A17,Fri!$M$9:$M$52)</f>
        <v>0</v>
      </c>
      <c r="H17" s="14" t="n">
        <f aca="false">SUMIF(Sat!$B$9:$B$52,$A17,Sat!$M$9:$M$52)</f>
        <v>476.007561111111</v>
      </c>
      <c r="I17" s="14" t="n">
        <f aca="false">SUMIF(Sun!$B$9:$B$52,$A17,Sun!$M$9:$M$52)</f>
        <v>50.3638521939954</v>
      </c>
      <c r="J17" s="14" t="n">
        <f aca="false">SUM(C17:I17)+($P$3-2.13)*(SUMIF(Mon!$B$57:$B$66,$A17,Mon!$D$57:$D$66)+SUMIF(Tue!$B$57:$B$66,$A17,Tue!$D$57:$D$66)+SUMIF(Wed!$B$57:$B$66,$A17,Wed!$D$57:$D$66)+SUMIF(Thu!$B$57:$B$66,$A17,Thu!$D$57:$D$66)+SUMIF(Fri!$B$57:$B$66,$A17,Fri!$D$57:$D$66)+SUMIF(Sat!$B$57:$B$66,$A17,Sat!$D$57:$D$66)+SUMIF(Sun!$B$57:$B$66,$A17,Sun!$D$57:$D$66))</f>
        <v>657.996104362017</v>
      </c>
      <c r="K17" s="14" t="n">
        <f aca="false">IF(B17=0,"",2.13+J17/B17)</f>
        <v>23.9396156566794</v>
      </c>
      <c r="L17" s="0" t="str">
        <f aca="false">IF(OR(A17="",B17=0),"",IF((2.13*B17+J17)/B17&gt;=Setup!$B$10,"OK","SHORTFALL"))</f>
        <v>OK</v>
      </c>
    </row>
    <row r="18" customFormat="false" ht="15" hidden="false" customHeight="false" outlineLevel="0" collapsed="false">
      <c r="A18" s="0" t="s">
        <v>80</v>
      </c>
      <c r="B18" s="13" t="n">
        <f aca="false">SUMIF(Mon!$B$9:$B$67,$A18,Mon!$D$9:$D$67)+SUMIF(Tue!$B$9:$B$67,$A18,Tue!$D$9:$D$67)+SUMIF(Wed!$B$9:$B$67,$A18,Wed!$D$9:$D$67)+SUMIF(Thu!$B$9:$B$67,$A18,Thu!$D$9:$D$67)+SUMIF(Fri!$B$9:$B$67,$A18,Fri!$D$9:$D$67)+SUMIF(Sat!$B$9:$B$67,$A18,Sat!$D$9:$D$67)+SUMIF(Sun!$B$9:$B$67,$A18,Sun!$D$9:$D$67)</f>
        <v>20.03</v>
      </c>
      <c r="C18" s="14" t="n">
        <f aca="false">SUMIF(Mon!$B$9:$B$52,$A18,Mon!$M$9:$M$52)</f>
        <v>0</v>
      </c>
      <c r="D18" s="14" t="n">
        <f aca="false">SUMIF(Tue!$B$9:$B$52,$A18,Tue!$M$9:$M$52)</f>
        <v>0</v>
      </c>
      <c r="E18" s="14" t="n">
        <f aca="false">SUMIF(Wed!$B$9:$B$52,$A18,Wed!$M$9:$M$52)</f>
        <v>0</v>
      </c>
      <c r="F18" s="14" t="n">
        <f aca="false">SUMIF(Thu!$B$9:$B$52,$A18,Thu!$M$9:$M$52)</f>
        <v>0</v>
      </c>
      <c r="G18" s="14" t="n">
        <f aca="false">SUMIF(Fri!$B$9:$B$52,$A18,Fri!$M$9:$M$52)</f>
        <v>0</v>
      </c>
      <c r="H18" s="14" t="n">
        <f aca="false">SUMIF(Sat!$B$9:$B$52,$A18,Sat!$M$9:$M$52)</f>
        <v>0</v>
      </c>
      <c r="I18" s="14" t="n">
        <f aca="false">SUMIF(Sun!$B$9:$B$52,$A18,Sun!$M$9:$M$52)</f>
        <v>0</v>
      </c>
      <c r="J18" s="14" t="n">
        <f aca="false">SUM(C18:I18)+($P$3-2.13)*(SUMIF(Mon!$B$57:$B$66,$A18,Mon!$D$57:$D$66)+SUMIF(Tue!$B$57:$B$66,$A18,Tue!$D$57:$D$66)+SUMIF(Wed!$B$57:$B$66,$A18,Wed!$D$57:$D$66)+SUMIF(Thu!$B$57:$B$66,$A18,Thu!$D$57:$D$66)+SUMIF(Fri!$B$57:$B$66,$A18,Fri!$D$57:$D$66)+SUMIF(Sat!$B$57:$B$66,$A18,Sat!$D$57:$D$66)+SUMIF(Sun!$B$57:$B$66,$A18,Sun!$D$57:$D$66))</f>
        <v>354.260327265812</v>
      </c>
      <c r="K18" s="14" t="n">
        <f aca="false">IF(B18=0,"",2.13+J18/B18)</f>
        <v>19.8164866333406</v>
      </c>
      <c r="L18" s="0" t="str">
        <f aca="false">IF(OR(A18="",B18=0),"",IF((2.13*B18+J18)/B18&gt;=Setup!$B$10,"OK","SHORTFALL"))</f>
        <v>OK</v>
      </c>
    </row>
    <row r="19" customFormat="false" ht="15" hidden="false" customHeight="false" outlineLevel="0" collapsed="false">
      <c r="A19" s="0" t="s">
        <v>62</v>
      </c>
      <c r="B19" s="13" t="n">
        <f aca="false">SUMIF(Mon!$B$9:$B$67,$A19,Mon!$D$9:$D$67)+SUMIF(Tue!$B$9:$B$67,$A19,Tue!$D$9:$D$67)+SUMIF(Wed!$B$9:$B$67,$A19,Wed!$D$9:$D$67)+SUMIF(Thu!$B$9:$B$67,$A19,Thu!$D$9:$D$67)+SUMIF(Fri!$B$9:$B$67,$A19,Fri!$D$9:$D$67)+SUMIF(Sat!$B$9:$B$67,$A19,Sat!$D$9:$D$67)+SUMIF(Sun!$B$9:$B$67,$A19,Sun!$D$9:$D$67)</f>
        <v>11.33</v>
      </c>
      <c r="C19" s="14" t="n">
        <f aca="false">SUMIF(Mon!$B$9:$B$52,$A19,Mon!$M$9:$M$52)</f>
        <v>0</v>
      </c>
      <c r="D19" s="14" t="n">
        <f aca="false">SUMIF(Tue!$B$9:$B$52,$A19,Tue!$M$9:$M$52)</f>
        <v>89.358</v>
      </c>
      <c r="E19" s="14" t="n">
        <f aca="false">SUMIF(Wed!$B$9:$B$52,$A19,Wed!$M$9:$M$52)</f>
        <v>100.0685</v>
      </c>
      <c r="F19" s="14" t="n">
        <f aca="false">SUMIF(Thu!$B$9:$B$52,$A19,Thu!$M$9:$M$52)</f>
        <v>0</v>
      </c>
      <c r="G19" s="14" t="n">
        <f aca="false">SUMIF(Fri!$B$9:$B$52,$A19,Fri!$M$9:$M$52)</f>
        <v>0</v>
      </c>
      <c r="H19" s="14" t="n">
        <f aca="false">SUMIF(Sat!$B$9:$B$52,$A19,Sat!$M$9:$M$52)</f>
        <v>0</v>
      </c>
      <c r="I19" s="14" t="n">
        <f aca="false">SUMIF(Sun!$B$9:$B$52,$A19,Sun!$M$9:$M$52)</f>
        <v>0</v>
      </c>
      <c r="J19" s="14" t="n">
        <f aca="false">SUM(C19:I19)+($P$3-2.13)*(SUMIF(Mon!$B$57:$B$66,$A19,Mon!$D$57:$D$66)+SUMIF(Tue!$B$57:$B$66,$A19,Tue!$D$57:$D$66)+SUMIF(Wed!$B$57:$B$66,$A19,Wed!$D$57:$D$66)+SUMIF(Thu!$B$57:$B$66,$A19,Thu!$D$57:$D$66)+SUMIF(Fri!$B$57:$B$66,$A19,Fri!$D$57:$D$66)+SUMIF(Sat!$B$57:$B$66,$A19,Sat!$D$57:$D$66)+SUMIF(Sun!$B$57:$B$66,$A19,Sun!$D$57:$D$66))</f>
        <v>189.4265</v>
      </c>
      <c r="K19" s="14" t="n">
        <f aca="false">IF(B19=0,"",2.13+J19/B19)</f>
        <v>18.8490203000883</v>
      </c>
      <c r="L19" s="0" t="str">
        <f aca="false">IF(OR(A19="",B19=0),"",IF((2.13*B19+J19)/B19&gt;=Setup!$B$10,"OK","SHORTFALL"))</f>
        <v>OK</v>
      </c>
    </row>
    <row r="20" customFormat="false" ht="15" hidden="false" customHeight="false" outlineLevel="0" collapsed="false">
      <c r="A20" s="0" t="s">
        <v>65</v>
      </c>
      <c r="B20" s="13" t="n">
        <f aca="false">SUMIF(Mon!$B$9:$B$67,$A20,Mon!$D$9:$D$67)+SUMIF(Tue!$B$9:$B$67,$A20,Tue!$D$9:$D$67)+SUMIF(Wed!$B$9:$B$67,$A20,Wed!$D$9:$D$67)+SUMIF(Thu!$B$9:$B$67,$A20,Thu!$D$9:$D$67)+SUMIF(Fri!$B$9:$B$67,$A20,Fri!$D$9:$D$67)+SUMIF(Sat!$B$9:$B$67,$A20,Sat!$D$9:$D$67)+SUMIF(Sun!$B$9:$B$67,$A20,Sun!$D$9:$D$67)</f>
        <v>15.71</v>
      </c>
      <c r="C20" s="14" t="n">
        <f aca="false">SUMIF(Mon!$B$9:$B$52,$A20,Mon!$M$9:$M$52)</f>
        <v>0</v>
      </c>
      <c r="D20" s="14" t="n">
        <f aca="false">SUMIF(Tue!$B$9:$B$52,$A20,Tue!$M$9:$M$52)</f>
        <v>0</v>
      </c>
      <c r="E20" s="14" t="n">
        <f aca="false">SUMIF(Wed!$B$9:$B$52,$A20,Wed!$M$9:$M$52)</f>
        <v>0</v>
      </c>
      <c r="F20" s="14" t="n">
        <f aca="false">SUMIF(Thu!$B$9:$B$52,$A20,Thu!$M$9:$M$52)</f>
        <v>0</v>
      </c>
      <c r="G20" s="14" t="n">
        <f aca="false">SUMIF(Fri!$B$9:$B$52,$A20,Fri!$M$9:$M$52)</f>
        <v>0</v>
      </c>
      <c r="H20" s="14" t="n">
        <f aca="false">SUMIF(Sat!$B$9:$B$52,$A20,Sat!$M$9:$M$52)</f>
        <v>0</v>
      </c>
      <c r="I20" s="14" t="n">
        <f aca="false">SUMIF(Sun!$B$9:$B$52,$A20,Sun!$M$9:$M$52)</f>
        <v>0</v>
      </c>
      <c r="J20" s="14" t="n">
        <f aca="false">SUM(C20:I20)+($P$3-2.13)*(SUMIF(Mon!$B$57:$B$66,$A20,Mon!$D$57:$D$66)+SUMIF(Tue!$B$57:$B$66,$A20,Tue!$D$57:$D$66)+SUMIF(Wed!$B$57:$B$66,$A20,Wed!$D$57:$D$66)+SUMIF(Thu!$B$57:$B$66,$A20,Thu!$D$57:$D$66)+SUMIF(Fri!$B$57:$B$66,$A20,Fri!$D$57:$D$66)+SUMIF(Sat!$B$57:$B$66,$A20,Sat!$D$57:$D$66)+SUMIF(Sun!$B$57:$B$66,$A20,Sun!$D$57:$D$66))</f>
        <v>277.85470500978</v>
      </c>
      <c r="K20" s="14" t="n">
        <f aca="false">IF(B20=0,"",2.13+J20/B20)</f>
        <v>19.8164866333406</v>
      </c>
      <c r="L20" s="0" t="str">
        <f aca="false">IF(OR(A20="",B20=0),"",IF((2.13*B20+J20)/B20&gt;=Setup!$B$10,"OK","SHORTFALL"))</f>
        <v>OK</v>
      </c>
    </row>
    <row r="21" customFormat="false" ht="15" hidden="false" customHeight="false" outlineLevel="0" collapsed="false">
      <c r="A21" s="0" t="s">
        <v>84</v>
      </c>
      <c r="B21" s="13" t="n">
        <f aca="false">SUMIF(Mon!$B$9:$B$67,$A21,Mon!$D$9:$D$67)+SUMIF(Tue!$B$9:$B$67,$A21,Tue!$D$9:$D$67)+SUMIF(Wed!$B$9:$B$67,$A21,Wed!$D$9:$D$67)+SUMIF(Thu!$B$9:$B$67,$A21,Thu!$D$9:$D$67)+SUMIF(Fri!$B$9:$B$67,$A21,Fri!$D$9:$D$67)+SUMIF(Sat!$B$9:$B$67,$A21,Sat!$D$9:$D$67)+SUMIF(Sun!$B$9:$B$67,$A21,Sun!$D$9:$D$67)</f>
        <v>13.49</v>
      </c>
      <c r="C21" s="14" t="n">
        <f aca="false">SUMIF(Mon!$B$9:$B$52,$A21,Mon!$M$9:$M$52)</f>
        <v>0</v>
      </c>
      <c r="D21" s="14" t="n">
        <f aca="false">SUMIF(Tue!$B$9:$B$52,$A21,Tue!$M$9:$M$52)</f>
        <v>0</v>
      </c>
      <c r="E21" s="14" t="n">
        <f aca="false">SUMIF(Wed!$B$9:$B$52,$A21,Wed!$M$9:$M$52)</f>
        <v>0</v>
      </c>
      <c r="F21" s="14" t="n">
        <f aca="false">SUMIF(Thu!$B$9:$B$52,$A21,Thu!$M$9:$M$52)</f>
        <v>0</v>
      </c>
      <c r="G21" s="14" t="n">
        <f aca="false">SUMIF(Fri!$B$9:$B$52,$A21,Fri!$M$9:$M$52)</f>
        <v>0</v>
      </c>
      <c r="H21" s="14" t="n">
        <f aca="false">SUMIF(Sat!$B$9:$B$52,$A21,Sat!$M$9:$M$52)</f>
        <v>0</v>
      </c>
      <c r="I21" s="14" t="n">
        <f aca="false">SUMIF(Sun!$B$9:$B$52,$A21,Sun!$M$9:$M$52)</f>
        <v>0</v>
      </c>
      <c r="J21" s="14" t="n">
        <f aca="false">SUM(C21:I21)+($P$3-2.13)*(SUMIF(Mon!$B$57:$B$66,$A21,Mon!$D$57:$D$66)+SUMIF(Tue!$B$57:$B$66,$A21,Tue!$D$57:$D$66)+SUMIF(Wed!$B$57:$B$66,$A21,Wed!$D$57:$D$66)+SUMIF(Thu!$B$57:$B$66,$A21,Thu!$D$57:$D$66)+SUMIF(Fri!$B$57:$B$66,$A21,Fri!$D$57:$D$66)+SUMIF(Sat!$B$57:$B$66,$A21,Sat!$D$57:$D$66)+SUMIF(Sun!$B$57:$B$66,$A21,Sun!$D$57:$D$66))</f>
        <v>238.590704683764</v>
      </c>
      <c r="K21" s="14" t="n">
        <f aca="false">IF(B21=0,"",2.13+J21/B21)</f>
        <v>19.8164866333406</v>
      </c>
      <c r="L21" s="0" t="str">
        <f aca="false">IF(OR(A21="",B21=0),"",IF((2.13*B21+J21)/B21&gt;=Setup!$B$10,"OK","SHORTFALL"))</f>
        <v>OK</v>
      </c>
    </row>
    <row r="22" customFormat="false" ht="15" hidden="false" customHeight="false" outlineLevel="0" collapsed="false">
      <c r="A22" s="0" t="s">
        <v>76</v>
      </c>
      <c r="B22" s="13" t="n">
        <f aca="false">SUMIF(Mon!$B$9:$B$67,$A22,Mon!$D$9:$D$67)+SUMIF(Tue!$B$9:$B$67,$A22,Tue!$D$9:$D$67)+SUMIF(Wed!$B$9:$B$67,$A22,Wed!$D$9:$D$67)+SUMIF(Thu!$B$9:$B$67,$A22,Thu!$D$9:$D$67)+SUMIF(Fri!$B$9:$B$67,$A22,Fri!$D$9:$D$67)+SUMIF(Sat!$B$9:$B$67,$A22,Sat!$D$9:$D$67)+SUMIF(Sun!$B$9:$B$67,$A22,Sun!$D$9:$D$67)</f>
        <v>5.63</v>
      </c>
      <c r="C22" s="14" t="n">
        <f aca="false">SUMIF(Mon!$B$9:$B$52,$A22,Mon!$M$9:$M$52)</f>
        <v>0</v>
      </c>
      <c r="D22" s="14" t="n">
        <f aca="false">SUMIF(Tue!$B$9:$B$52,$A22,Tue!$M$9:$M$52)</f>
        <v>0</v>
      </c>
      <c r="E22" s="14" t="n">
        <f aca="false">SUMIF(Wed!$B$9:$B$52,$A22,Wed!$M$9:$M$52)</f>
        <v>0</v>
      </c>
      <c r="F22" s="14" t="n">
        <f aca="false">SUMIF(Thu!$B$9:$B$52,$A22,Thu!$M$9:$M$52)</f>
        <v>0</v>
      </c>
      <c r="G22" s="14" t="n">
        <f aca="false">SUMIF(Fri!$B$9:$B$52,$A22,Fri!$M$9:$M$52)</f>
        <v>0</v>
      </c>
      <c r="H22" s="14" t="n">
        <f aca="false">SUMIF(Sat!$B$9:$B$52,$A22,Sat!$M$9:$M$52)</f>
        <v>0</v>
      </c>
      <c r="I22" s="14" t="n">
        <f aca="false">SUMIF(Sun!$B$9:$B$52,$A22,Sun!$M$9:$M$52)</f>
        <v>0</v>
      </c>
      <c r="J22" s="14" t="n">
        <f aca="false">SUM(C22:I22)+($P$3-2.13)*(SUMIF(Mon!$B$57:$B$66,$A22,Mon!$D$57:$D$66)+SUMIF(Tue!$B$57:$B$66,$A22,Tue!$D$57:$D$66)+SUMIF(Wed!$B$57:$B$66,$A22,Wed!$D$57:$D$66)+SUMIF(Thu!$B$57:$B$66,$A22,Thu!$D$57:$D$66)+SUMIF(Fri!$B$57:$B$66,$A22,Fri!$D$57:$D$66)+SUMIF(Sat!$B$57:$B$66,$A22,Sat!$D$57:$D$66)+SUMIF(Sun!$B$57:$B$66,$A22,Sun!$D$57:$D$66))</f>
        <v>0</v>
      </c>
      <c r="K22" s="14" t="n">
        <f aca="false">IF(B22=0,"",2.13+J22/B22)</f>
        <v>2.13</v>
      </c>
      <c r="L22" s="0" t="str">
        <f aca="false">IF(OR(A22="",B22=0),"",IF((2.13*B22+J22)/B22&gt;=Setup!$B$10,"OK","SHORTFALL"))</f>
        <v>SHORTFALL</v>
      </c>
    </row>
    <row r="23" customFormat="false" ht="15" hidden="false" customHeight="false" outlineLevel="0" collapsed="false">
      <c r="A23" s="0" t="s">
        <v>51</v>
      </c>
      <c r="B23" s="13" t="n">
        <f aca="false">SUMIF(Mon!$B$9:$B$67,$A23,Mon!$D$9:$D$67)+SUMIF(Tue!$B$9:$B$67,$A23,Tue!$D$9:$D$67)+SUMIF(Wed!$B$9:$B$67,$A23,Wed!$D$9:$D$67)+SUMIF(Thu!$B$9:$B$67,$A23,Thu!$D$9:$D$67)+SUMIF(Fri!$B$9:$B$67,$A23,Fri!$D$9:$D$67)+SUMIF(Sat!$B$9:$B$67,$A23,Sat!$D$9:$D$67)+SUMIF(Sun!$B$9:$B$67,$A23,Sun!$D$9:$D$67)</f>
        <v>26.92</v>
      </c>
      <c r="C23" s="14" t="n">
        <f aca="false">SUMIF(Mon!$B$9:$B$52,$A23,Mon!$M$9:$M$52)</f>
        <v>0</v>
      </c>
      <c r="D23" s="14" t="n">
        <f aca="false">SUMIF(Tue!$B$9:$B$52,$A23,Tue!$M$9:$M$52)</f>
        <v>0</v>
      </c>
      <c r="E23" s="14" t="n">
        <f aca="false">SUMIF(Wed!$B$9:$B$52,$A23,Wed!$M$9:$M$52)</f>
        <v>0</v>
      </c>
      <c r="F23" s="14" t="n">
        <f aca="false">SUMIF(Thu!$B$9:$B$52,$A23,Thu!$M$9:$M$52)</f>
        <v>39.3023089430894</v>
      </c>
      <c r="G23" s="14" t="n">
        <f aca="false">SUMIF(Fri!$B$9:$B$52,$A23,Fri!$M$9:$M$52)</f>
        <v>179.039534418023</v>
      </c>
      <c r="H23" s="14" t="n">
        <f aca="false">SUMIF(Sat!$B$9:$B$52,$A23,Sat!$M$9:$M$52)</f>
        <v>597.463098611111</v>
      </c>
      <c r="I23" s="14" t="n">
        <f aca="false">SUMIF(Sun!$B$9:$B$52,$A23,Sun!$M$9:$M$52)</f>
        <v>0</v>
      </c>
      <c r="J23" s="14" t="n">
        <f aca="false">SUM(C23:I23)+($P$3-2.13)*(SUMIF(Mon!$B$57:$B$66,$A23,Mon!$D$57:$D$66)+SUMIF(Tue!$B$57:$B$66,$A23,Tue!$D$57:$D$66)+SUMIF(Wed!$B$57:$B$66,$A23,Wed!$D$57:$D$66)+SUMIF(Thu!$B$57:$B$66,$A23,Thu!$D$57:$D$66)+SUMIF(Fri!$B$57:$B$66,$A23,Fri!$D$57:$D$66)+SUMIF(Sat!$B$57:$B$66,$A23,Sat!$D$57:$D$66)+SUMIF(Sun!$B$57:$B$66,$A23,Sun!$D$57:$D$66))</f>
        <v>815.804941972223</v>
      </c>
      <c r="K23" s="14" t="n">
        <f aca="false">IF(B23=0,"",2.13+J23/B23)</f>
        <v>32.4347898206621</v>
      </c>
      <c r="L23" s="0" t="str">
        <f aca="false">IF(OR(A23="",B23=0),"",IF((2.13*B23+J23)/B23&gt;=Setup!$B$10,"OK","SHORTFALL"))</f>
        <v>OK</v>
      </c>
    </row>
    <row r="24" customFormat="false" ht="15" hidden="false" customHeight="false" outlineLevel="0" collapsed="false">
      <c r="A24" s="0" t="s">
        <v>74</v>
      </c>
      <c r="B24" s="13" t="n">
        <f aca="false">SUMIF(Mon!$B$9:$B$67,$A24,Mon!$D$9:$D$67)+SUMIF(Tue!$B$9:$B$67,$A24,Tue!$D$9:$D$67)+SUMIF(Wed!$B$9:$B$67,$A24,Wed!$D$9:$D$67)+SUMIF(Thu!$B$9:$B$67,$A24,Thu!$D$9:$D$67)+SUMIF(Fri!$B$9:$B$67,$A24,Fri!$D$9:$D$67)+SUMIF(Sat!$B$9:$B$67,$A24,Sat!$D$9:$D$67)+SUMIF(Sun!$B$9:$B$67,$A24,Sun!$D$9:$D$67)</f>
        <v>20.16</v>
      </c>
      <c r="C24" s="14" t="n">
        <f aca="false">SUMIF(Mon!$B$9:$B$52,$A24,Mon!$M$9:$M$52)</f>
        <v>0</v>
      </c>
      <c r="D24" s="14" t="n">
        <f aca="false">SUMIF(Tue!$B$9:$B$52,$A24,Tue!$M$9:$M$52)</f>
        <v>0</v>
      </c>
      <c r="E24" s="14" t="n">
        <f aca="false">SUMIF(Wed!$B$9:$B$52,$A24,Wed!$M$9:$M$52)</f>
        <v>0</v>
      </c>
      <c r="F24" s="14" t="n">
        <f aca="false">SUMIF(Thu!$B$9:$B$52,$A24,Thu!$M$9:$M$52)</f>
        <v>0</v>
      </c>
      <c r="G24" s="14" t="n">
        <f aca="false">SUMIF(Fri!$B$9:$B$52,$A24,Fri!$M$9:$M$52)</f>
        <v>325.843</v>
      </c>
      <c r="H24" s="14" t="n">
        <f aca="false">SUMIF(Sat!$B$9:$B$52,$A24,Sat!$M$9:$M$52)</f>
        <v>264.1855</v>
      </c>
      <c r="I24" s="14" t="n">
        <f aca="false">SUMIF(Sun!$B$9:$B$52,$A24,Sun!$M$9:$M$52)</f>
        <v>185.4065</v>
      </c>
      <c r="J24" s="14" t="n">
        <f aca="false">SUM(C24:I24)+($P$3-2.13)*(SUMIF(Mon!$B$57:$B$66,$A24,Mon!$D$57:$D$66)+SUMIF(Tue!$B$57:$B$66,$A24,Tue!$D$57:$D$66)+SUMIF(Wed!$B$57:$B$66,$A24,Wed!$D$57:$D$66)+SUMIF(Thu!$B$57:$B$66,$A24,Thu!$D$57:$D$66)+SUMIF(Fri!$B$57:$B$66,$A24,Fri!$D$57:$D$66)+SUMIF(Sat!$B$57:$B$66,$A24,Sat!$D$57:$D$66)+SUMIF(Sun!$B$57:$B$66,$A24,Sun!$D$57:$D$66))</f>
        <v>775.435</v>
      </c>
      <c r="K24" s="14" t="n">
        <f aca="false">IF(B24=0,"",2.13+J24/B24)</f>
        <v>40.5940376984127</v>
      </c>
      <c r="L24" s="0" t="str">
        <f aca="false">IF(OR(A24="",B24=0),"",IF((2.13*B24+J24)/B24&gt;=Setup!$B$10,"OK","SHORTFALL"))</f>
        <v>OK</v>
      </c>
    </row>
    <row r="25" customFormat="false" ht="15" hidden="false" customHeight="false" outlineLevel="0" collapsed="false">
      <c r="A25" s="0" t="s">
        <v>71</v>
      </c>
      <c r="B25" s="13" t="n">
        <f aca="false">SUMIF(Mon!$B$9:$B$67,$A25,Mon!$D$9:$D$67)+SUMIF(Tue!$B$9:$B$67,$A25,Tue!$D$9:$D$67)+SUMIF(Wed!$B$9:$B$67,$A25,Wed!$D$9:$D$67)+SUMIF(Thu!$B$9:$B$67,$A25,Thu!$D$9:$D$67)+SUMIF(Fri!$B$9:$B$67,$A25,Fri!$D$9:$D$67)+SUMIF(Sat!$B$9:$B$67,$A25,Sat!$D$9:$D$67)+SUMIF(Sun!$B$9:$B$67,$A25,Sun!$D$9:$D$67)</f>
        <v>7.91</v>
      </c>
      <c r="C25" s="14" t="n">
        <f aca="false">SUMIF(Mon!$B$9:$B$52,$A25,Mon!$M$9:$M$52)</f>
        <v>0</v>
      </c>
      <c r="D25" s="14" t="n">
        <f aca="false">SUMIF(Tue!$B$9:$B$52,$A25,Tue!$M$9:$M$52)</f>
        <v>0</v>
      </c>
      <c r="E25" s="14" t="n">
        <f aca="false">SUMIF(Wed!$B$9:$B$52,$A25,Wed!$M$9:$M$52)</f>
        <v>0</v>
      </c>
      <c r="F25" s="14" t="n">
        <f aca="false">SUMIF(Thu!$B$9:$B$52,$A25,Thu!$M$9:$M$52)</f>
        <v>488.918</v>
      </c>
      <c r="G25" s="14" t="n">
        <f aca="false">SUMIF(Fri!$B$9:$B$52,$A25,Fri!$M$9:$M$52)</f>
        <v>0</v>
      </c>
      <c r="H25" s="14" t="n">
        <f aca="false">SUMIF(Sat!$B$9:$B$52,$A25,Sat!$M$9:$M$52)</f>
        <v>0</v>
      </c>
      <c r="I25" s="14" t="n">
        <f aca="false">SUMIF(Sun!$B$9:$B$52,$A25,Sun!$M$9:$M$52)</f>
        <v>0</v>
      </c>
      <c r="J25" s="14" t="n">
        <f aca="false">SUM(C25:I25)+($P$3-2.13)*(SUMIF(Mon!$B$57:$B$66,$A25,Mon!$D$57:$D$66)+SUMIF(Tue!$B$57:$B$66,$A25,Tue!$D$57:$D$66)+SUMIF(Wed!$B$57:$B$66,$A25,Wed!$D$57:$D$66)+SUMIF(Thu!$B$57:$B$66,$A25,Thu!$D$57:$D$66)+SUMIF(Fri!$B$57:$B$66,$A25,Fri!$D$57:$D$66)+SUMIF(Sat!$B$57:$B$66,$A25,Sat!$D$57:$D$66)+SUMIF(Sun!$B$57:$B$66,$A25,Sun!$D$57:$D$66))</f>
        <v>488.918</v>
      </c>
      <c r="K25" s="14" t="n">
        <f aca="false">IF(B25=0,"",2.13+J25/B25)</f>
        <v>63.9401137800253</v>
      </c>
      <c r="L25" s="0" t="str">
        <f aca="false">IF(OR(A25="",B25=0),"",IF((2.13*B25+J25)/B25&gt;=Setup!$B$10,"OK","SHORTFALL"))</f>
        <v>OK</v>
      </c>
    </row>
    <row r="26" customFormat="false" ht="15" hidden="false" customHeight="false" outlineLevel="0" collapsed="false">
      <c r="A26" s="19"/>
      <c r="B26" s="13" t="n">
        <f aca="false">SUMIF(Mon!$B$9:$B$67,$A26,Mon!$D$9:$D$67)+SUMIF(Tue!$B$9:$B$67,$A26,Tue!$D$9:$D$67)+SUMIF(Wed!$B$9:$B$67,$A26,Wed!$D$9:$D$67)+SUMIF(Thu!$B$9:$B$67,$A26,Thu!$D$9:$D$67)+SUMIF(Fri!$B$9:$B$67,$A26,Fri!$D$9:$D$67)+SUMIF(Sat!$B$9:$B$67,$A26,Sat!$D$9:$D$67)+SUMIF(Sun!$B$9:$B$67,$A26,Sun!$D$9:$D$67)</f>
        <v>0</v>
      </c>
      <c r="C26" s="14" t="n">
        <f aca="false">SUMIF(Mon!$B$9:$B$52,$A26,Mon!$M$9:$M$52)</f>
        <v>0</v>
      </c>
      <c r="D26" s="14" t="n">
        <f aca="false">SUMIF(Tue!$B$9:$B$52,$A26,Tue!$M$9:$M$52)</f>
        <v>0</v>
      </c>
      <c r="E26" s="14" t="n">
        <f aca="false">SUMIF(Wed!$B$9:$B$52,$A26,Wed!$M$9:$M$52)</f>
        <v>0</v>
      </c>
      <c r="F26" s="14" t="n">
        <f aca="false">SUMIF(Thu!$B$9:$B$52,$A26,Thu!$M$9:$M$52)</f>
        <v>0</v>
      </c>
      <c r="G26" s="14" t="n">
        <f aca="false">SUMIF(Fri!$B$9:$B$52,$A26,Fri!$M$9:$M$52)</f>
        <v>0</v>
      </c>
      <c r="H26" s="14" t="n">
        <f aca="false">SUMIF(Sat!$B$9:$B$52,$A26,Sat!$M$9:$M$52)</f>
        <v>0</v>
      </c>
      <c r="I26" s="14" t="n">
        <f aca="false">SUMIF(Sun!$B$9:$B$52,$A26,Sun!$M$9:$M$52)</f>
        <v>0</v>
      </c>
      <c r="J26" s="14" t="n">
        <f aca="false">SUM(C26:I26)+($P$3-2.13)*(SUMIF(Mon!$B$57:$B$66,$A26,Mon!$D$57:$D$66)+SUMIF(Tue!$B$57:$B$66,$A26,Tue!$D$57:$D$66)+SUMIF(Wed!$B$57:$B$66,$A26,Wed!$D$57:$D$66)+SUMIF(Thu!$B$57:$B$66,$A26,Thu!$D$57:$D$66)+SUMIF(Fri!$B$57:$B$66,$A26,Fri!$D$57:$D$66)+SUMIF(Sat!$B$57:$B$66,$A26,Sat!$D$57:$D$66)+SUMIF(Sun!$B$57:$B$66,$A26,Sun!$D$57:$D$66))</f>
        <v>0</v>
      </c>
      <c r="K26" s="14" t="str">
        <f aca="false">IF(B26=0,"",2.13+J26/B26)</f>
        <v/>
      </c>
      <c r="L26" s="0" t="str">
        <f aca="false">IF(OR(A26="",B26=0),"",IF((2.13*B26+J26)/B26&gt;=Setup!$B$10,"OK","SHORTFALL"))</f>
        <v/>
      </c>
    </row>
    <row r="27" customFormat="false" ht="15" hidden="false" customHeight="false" outlineLevel="0" collapsed="false">
      <c r="A27" s="19"/>
      <c r="B27" s="13" t="n">
        <f aca="false">SUMIF(Mon!$B$9:$B$67,$A27,Mon!$D$9:$D$67)+SUMIF(Tue!$B$9:$B$67,$A27,Tue!$D$9:$D$67)+SUMIF(Wed!$B$9:$B$67,$A27,Wed!$D$9:$D$67)+SUMIF(Thu!$B$9:$B$67,$A27,Thu!$D$9:$D$67)+SUMIF(Fri!$B$9:$B$67,$A27,Fri!$D$9:$D$67)+SUMIF(Sat!$B$9:$B$67,$A27,Sat!$D$9:$D$67)+SUMIF(Sun!$B$9:$B$67,$A27,Sun!$D$9:$D$67)</f>
        <v>0</v>
      </c>
      <c r="C27" s="14" t="n">
        <f aca="false">SUMIF(Mon!$B$9:$B$52,$A27,Mon!$M$9:$M$52)</f>
        <v>0</v>
      </c>
      <c r="D27" s="14" t="n">
        <f aca="false">SUMIF(Tue!$B$9:$B$52,$A27,Tue!$M$9:$M$52)</f>
        <v>0</v>
      </c>
      <c r="E27" s="14" t="n">
        <f aca="false">SUMIF(Wed!$B$9:$B$52,$A27,Wed!$M$9:$M$52)</f>
        <v>0</v>
      </c>
      <c r="F27" s="14" t="n">
        <f aca="false">SUMIF(Thu!$B$9:$B$52,$A27,Thu!$M$9:$M$52)</f>
        <v>0</v>
      </c>
      <c r="G27" s="14" t="n">
        <f aca="false">SUMIF(Fri!$B$9:$B$52,$A27,Fri!$M$9:$M$52)</f>
        <v>0</v>
      </c>
      <c r="H27" s="14" t="n">
        <f aca="false">SUMIF(Sat!$B$9:$B$52,$A27,Sat!$M$9:$M$52)</f>
        <v>0</v>
      </c>
      <c r="I27" s="14" t="n">
        <f aca="false">SUMIF(Sun!$B$9:$B$52,$A27,Sun!$M$9:$M$52)</f>
        <v>0</v>
      </c>
      <c r="J27" s="14" t="n">
        <f aca="false">SUM(C27:I27)+($P$3-2.13)*(SUMIF(Mon!$B$57:$B$66,$A27,Mon!$D$57:$D$66)+SUMIF(Tue!$B$57:$B$66,$A27,Tue!$D$57:$D$66)+SUMIF(Wed!$B$57:$B$66,$A27,Wed!$D$57:$D$66)+SUMIF(Thu!$B$57:$B$66,$A27,Thu!$D$57:$D$66)+SUMIF(Fri!$B$57:$B$66,$A27,Fri!$D$57:$D$66)+SUMIF(Sat!$B$57:$B$66,$A27,Sat!$D$57:$D$66)+SUMIF(Sun!$B$57:$B$66,$A27,Sun!$D$57:$D$66))</f>
        <v>0</v>
      </c>
      <c r="K27" s="14" t="str">
        <f aca="false">IF(B27=0,"",2.13+J27/B27)</f>
        <v/>
      </c>
      <c r="L27" s="0" t="str">
        <f aca="false">IF(OR(A27="",B27=0),"",IF((2.13*B27+J27)/B27&gt;=Setup!$B$10,"OK","SHORTFALL"))</f>
        <v/>
      </c>
    </row>
    <row r="28" customFormat="false" ht="15" hidden="false" customHeight="false" outlineLevel="0" collapsed="false">
      <c r="A28" s="19"/>
      <c r="B28" s="13" t="n">
        <f aca="false">SUMIF(Mon!$B$9:$B$67,$A28,Mon!$D$9:$D$67)+SUMIF(Tue!$B$9:$B$67,$A28,Tue!$D$9:$D$67)+SUMIF(Wed!$B$9:$B$67,$A28,Wed!$D$9:$D$67)+SUMIF(Thu!$B$9:$B$67,$A28,Thu!$D$9:$D$67)+SUMIF(Fri!$B$9:$B$67,$A28,Fri!$D$9:$D$67)+SUMIF(Sat!$B$9:$B$67,$A28,Sat!$D$9:$D$67)+SUMIF(Sun!$B$9:$B$67,$A28,Sun!$D$9:$D$67)</f>
        <v>0</v>
      </c>
      <c r="C28" s="14" t="n">
        <f aca="false">SUMIF(Mon!$B$9:$B$52,$A28,Mon!$M$9:$M$52)</f>
        <v>0</v>
      </c>
      <c r="D28" s="14" t="n">
        <f aca="false">SUMIF(Tue!$B$9:$B$52,$A28,Tue!$M$9:$M$52)</f>
        <v>0</v>
      </c>
      <c r="E28" s="14" t="n">
        <f aca="false">SUMIF(Wed!$B$9:$B$52,$A28,Wed!$M$9:$M$52)</f>
        <v>0</v>
      </c>
      <c r="F28" s="14" t="n">
        <f aca="false">SUMIF(Thu!$B$9:$B$52,$A28,Thu!$M$9:$M$52)</f>
        <v>0</v>
      </c>
      <c r="G28" s="14" t="n">
        <f aca="false">SUMIF(Fri!$B$9:$B$52,$A28,Fri!$M$9:$M$52)</f>
        <v>0</v>
      </c>
      <c r="H28" s="14" t="n">
        <f aca="false">SUMIF(Sat!$B$9:$B$52,$A28,Sat!$M$9:$M$52)</f>
        <v>0</v>
      </c>
      <c r="I28" s="14" t="n">
        <f aca="false">SUMIF(Sun!$B$9:$B$52,$A28,Sun!$M$9:$M$52)</f>
        <v>0</v>
      </c>
      <c r="J28" s="14" t="n">
        <f aca="false">SUM(C28:I28)+($P$3-2.13)*(SUMIF(Mon!$B$57:$B$66,$A28,Mon!$D$57:$D$66)+SUMIF(Tue!$B$57:$B$66,$A28,Tue!$D$57:$D$66)+SUMIF(Wed!$B$57:$B$66,$A28,Wed!$D$57:$D$66)+SUMIF(Thu!$B$57:$B$66,$A28,Thu!$D$57:$D$66)+SUMIF(Fri!$B$57:$B$66,$A28,Fri!$D$57:$D$66)+SUMIF(Sat!$B$57:$B$66,$A28,Sat!$D$57:$D$66)+SUMIF(Sun!$B$57:$B$66,$A28,Sun!$D$57:$D$66))</f>
        <v>0</v>
      </c>
      <c r="K28" s="14" t="str">
        <f aca="false">IF(B28=0,"",2.13+J28/B28)</f>
        <v/>
      </c>
      <c r="L28" s="0" t="str">
        <f aca="false">IF(OR(A28="",B28=0),"",IF((2.13*B28+J28)/B28&gt;=Setup!$B$10,"OK","SHORTFALL"))</f>
        <v/>
      </c>
    </row>
    <row r="29" customFormat="false" ht="15" hidden="false" customHeight="false" outlineLevel="0" collapsed="false">
      <c r="A29" s="19"/>
      <c r="B29" s="13" t="n">
        <f aca="false">SUMIF(Mon!$B$9:$B$67,$A29,Mon!$D$9:$D$67)+SUMIF(Tue!$B$9:$B$67,$A29,Tue!$D$9:$D$67)+SUMIF(Wed!$B$9:$B$67,$A29,Wed!$D$9:$D$67)+SUMIF(Thu!$B$9:$B$67,$A29,Thu!$D$9:$D$67)+SUMIF(Fri!$B$9:$B$67,$A29,Fri!$D$9:$D$67)+SUMIF(Sat!$B$9:$B$67,$A29,Sat!$D$9:$D$67)+SUMIF(Sun!$B$9:$B$67,$A29,Sun!$D$9:$D$67)</f>
        <v>0</v>
      </c>
      <c r="C29" s="14" t="n">
        <f aca="false">SUMIF(Mon!$B$9:$B$52,$A29,Mon!$M$9:$M$52)</f>
        <v>0</v>
      </c>
      <c r="D29" s="14" t="n">
        <f aca="false">SUMIF(Tue!$B$9:$B$52,$A29,Tue!$M$9:$M$52)</f>
        <v>0</v>
      </c>
      <c r="E29" s="14" t="n">
        <f aca="false">SUMIF(Wed!$B$9:$B$52,$A29,Wed!$M$9:$M$52)</f>
        <v>0</v>
      </c>
      <c r="F29" s="14" t="n">
        <f aca="false">SUMIF(Thu!$B$9:$B$52,$A29,Thu!$M$9:$M$52)</f>
        <v>0</v>
      </c>
      <c r="G29" s="14" t="n">
        <f aca="false">SUMIF(Fri!$B$9:$B$52,$A29,Fri!$M$9:$M$52)</f>
        <v>0</v>
      </c>
      <c r="H29" s="14" t="n">
        <f aca="false">SUMIF(Sat!$B$9:$B$52,$A29,Sat!$M$9:$M$52)</f>
        <v>0</v>
      </c>
      <c r="I29" s="14" t="n">
        <f aca="false">SUMIF(Sun!$B$9:$B$52,$A29,Sun!$M$9:$M$52)</f>
        <v>0</v>
      </c>
      <c r="J29" s="14" t="n">
        <f aca="false">SUM(C29:I29)+($P$3-2.13)*(SUMIF(Mon!$B$57:$B$66,$A29,Mon!$D$57:$D$66)+SUMIF(Tue!$B$57:$B$66,$A29,Tue!$D$57:$D$66)+SUMIF(Wed!$B$57:$B$66,$A29,Wed!$D$57:$D$66)+SUMIF(Thu!$B$57:$B$66,$A29,Thu!$D$57:$D$66)+SUMIF(Fri!$B$57:$B$66,$A29,Fri!$D$57:$D$66)+SUMIF(Sat!$B$57:$B$66,$A29,Sat!$D$57:$D$66)+SUMIF(Sun!$B$57:$B$66,$A29,Sun!$D$57:$D$66))</f>
        <v>0</v>
      </c>
      <c r="K29" s="14" t="str">
        <f aca="false">IF(B29=0,"",2.13+J29/B29)</f>
        <v/>
      </c>
      <c r="L29" s="0" t="str">
        <f aca="false">IF(OR(A29="",B29=0),"",IF((2.13*B29+J29)/B29&gt;=Setup!$B$10,"OK","SHORTFALL"))</f>
        <v/>
      </c>
    </row>
    <row r="30" customFormat="false" ht="15" hidden="false" customHeight="false" outlineLevel="0" collapsed="false">
      <c r="A30" s="19"/>
      <c r="B30" s="13" t="n">
        <f aca="false">SUMIF(Mon!$B$9:$B$67,$A30,Mon!$D$9:$D$67)+SUMIF(Tue!$B$9:$B$67,$A30,Tue!$D$9:$D$67)+SUMIF(Wed!$B$9:$B$67,$A30,Wed!$D$9:$D$67)+SUMIF(Thu!$B$9:$B$67,$A30,Thu!$D$9:$D$67)+SUMIF(Fri!$B$9:$B$67,$A30,Fri!$D$9:$D$67)+SUMIF(Sat!$B$9:$B$67,$A30,Sat!$D$9:$D$67)+SUMIF(Sun!$B$9:$B$67,$A30,Sun!$D$9:$D$67)</f>
        <v>0</v>
      </c>
      <c r="C30" s="14" t="n">
        <f aca="false">SUMIF(Mon!$B$9:$B$52,$A30,Mon!$M$9:$M$52)</f>
        <v>0</v>
      </c>
      <c r="D30" s="14" t="n">
        <f aca="false">SUMIF(Tue!$B$9:$B$52,$A30,Tue!$M$9:$M$52)</f>
        <v>0</v>
      </c>
      <c r="E30" s="14" t="n">
        <f aca="false">SUMIF(Wed!$B$9:$B$52,$A30,Wed!$M$9:$M$52)</f>
        <v>0</v>
      </c>
      <c r="F30" s="14" t="n">
        <f aca="false">SUMIF(Thu!$B$9:$B$52,$A30,Thu!$M$9:$M$52)</f>
        <v>0</v>
      </c>
      <c r="G30" s="14" t="n">
        <f aca="false">SUMIF(Fri!$B$9:$B$52,$A30,Fri!$M$9:$M$52)</f>
        <v>0</v>
      </c>
      <c r="H30" s="14" t="n">
        <f aca="false">SUMIF(Sat!$B$9:$B$52,$A30,Sat!$M$9:$M$52)</f>
        <v>0</v>
      </c>
      <c r="I30" s="14" t="n">
        <f aca="false">SUMIF(Sun!$B$9:$B$52,$A30,Sun!$M$9:$M$52)</f>
        <v>0</v>
      </c>
      <c r="J30" s="14" t="n">
        <f aca="false">SUM(C30:I30)+($P$3-2.13)*(SUMIF(Mon!$B$57:$B$66,$A30,Mon!$D$57:$D$66)+SUMIF(Tue!$B$57:$B$66,$A30,Tue!$D$57:$D$66)+SUMIF(Wed!$B$57:$B$66,$A30,Wed!$D$57:$D$66)+SUMIF(Thu!$B$57:$B$66,$A30,Thu!$D$57:$D$66)+SUMIF(Fri!$B$57:$B$66,$A30,Fri!$D$57:$D$66)+SUMIF(Sat!$B$57:$B$66,$A30,Sat!$D$57:$D$66)+SUMIF(Sun!$B$57:$B$66,$A30,Sun!$D$57:$D$66))</f>
        <v>0</v>
      </c>
      <c r="K30" s="14" t="str">
        <f aca="false">IF(B30=0,"",2.13+J30/B30)</f>
        <v/>
      </c>
      <c r="L30" s="0" t="str">
        <f aca="false">IF(OR(A30="",B30=0),"",IF((2.13*B30+J30)/B30&gt;=Setup!$B$10,"OK","SHORTFALL"))</f>
        <v/>
      </c>
    </row>
    <row r="31" customFormat="false" ht="15" hidden="false" customHeight="false" outlineLevel="0" collapsed="false">
      <c r="A31" s="19"/>
      <c r="B31" s="13" t="n">
        <f aca="false">SUMIF(Mon!$B$9:$B$67,$A31,Mon!$D$9:$D$67)+SUMIF(Tue!$B$9:$B$67,$A31,Tue!$D$9:$D$67)+SUMIF(Wed!$B$9:$B$67,$A31,Wed!$D$9:$D$67)+SUMIF(Thu!$B$9:$B$67,$A31,Thu!$D$9:$D$67)+SUMIF(Fri!$B$9:$B$67,$A31,Fri!$D$9:$D$67)+SUMIF(Sat!$B$9:$B$67,$A31,Sat!$D$9:$D$67)+SUMIF(Sun!$B$9:$B$67,$A31,Sun!$D$9:$D$67)</f>
        <v>0</v>
      </c>
      <c r="C31" s="14" t="n">
        <f aca="false">SUMIF(Mon!$B$9:$B$52,$A31,Mon!$M$9:$M$52)</f>
        <v>0</v>
      </c>
      <c r="D31" s="14" t="n">
        <f aca="false">SUMIF(Tue!$B$9:$B$52,$A31,Tue!$M$9:$M$52)</f>
        <v>0</v>
      </c>
      <c r="E31" s="14" t="n">
        <f aca="false">SUMIF(Wed!$B$9:$B$52,$A31,Wed!$M$9:$M$52)</f>
        <v>0</v>
      </c>
      <c r="F31" s="14" t="n">
        <f aca="false">SUMIF(Thu!$B$9:$B$52,$A31,Thu!$M$9:$M$52)</f>
        <v>0</v>
      </c>
      <c r="G31" s="14" t="n">
        <f aca="false">SUMIF(Fri!$B$9:$B$52,$A31,Fri!$M$9:$M$52)</f>
        <v>0</v>
      </c>
      <c r="H31" s="14" t="n">
        <f aca="false">SUMIF(Sat!$B$9:$B$52,$A31,Sat!$M$9:$M$52)</f>
        <v>0</v>
      </c>
      <c r="I31" s="14" t="n">
        <f aca="false">SUMIF(Sun!$B$9:$B$52,$A31,Sun!$M$9:$M$52)</f>
        <v>0</v>
      </c>
      <c r="J31" s="14" t="n">
        <f aca="false">SUM(C31:I31)+($P$3-2.13)*(SUMIF(Mon!$B$57:$B$66,$A31,Mon!$D$57:$D$66)+SUMIF(Tue!$B$57:$B$66,$A31,Tue!$D$57:$D$66)+SUMIF(Wed!$B$57:$B$66,$A31,Wed!$D$57:$D$66)+SUMIF(Thu!$B$57:$B$66,$A31,Thu!$D$57:$D$66)+SUMIF(Fri!$B$57:$B$66,$A31,Fri!$D$57:$D$66)+SUMIF(Sat!$B$57:$B$66,$A31,Sat!$D$57:$D$66)+SUMIF(Sun!$B$57:$B$66,$A31,Sun!$D$57:$D$66))</f>
        <v>0</v>
      </c>
      <c r="K31" s="14" t="str">
        <f aca="false">IF(B31=0,"",2.13+J31/B31)</f>
        <v/>
      </c>
      <c r="L31" s="0" t="str">
        <f aca="false">IF(OR(A31="",B31=0),"",IF((2.13*B31+J31)/B31&gt;=Setup!$B$10,"OK","SHORTFALL"))</f>
        <v/>
      </c>
    </row>
    <row r="32" customFormat="false" ht="15" hidden="false" customHeight="false" outlineLevel="0" collapsed="false">
      <c r="A32" s="6" t="s">
        <v>40</v>
      </c>
      <c r="B32" s="15" t="n">
        <f aca="false">SUM(B5:B31)</f>
        <v>336.95</v>
      </c>
      <c r="J32" s="16" t="n">
        <f aca="false">SUM(J5:J31)</f>
        <v>12246.0805</v>
      </c>
    </row>
    <row r="34" customFormat="false" ht="15" hidden="false" customHeight="false" outlineLevel="0" collapsed="false">
      <c r="A34" s="24" t="s">
        <v>107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</sheetData>
  <mergeCells count="1"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2026-10-12T21:32:50Z</dcterms:created>
  <dc:creator>openpyxl</dc:creator>
  <dc:description/>
  <dc:language>en-US</dc:language>
  <cp:lastModifiedBy/>
  <dcterms:modified xsi:type="dcterms:W3CDTF">2026-10-12T21:32:50Z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